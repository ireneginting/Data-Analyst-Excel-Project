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20D11DE-B47D-46B3-93FF-D1E24A1E05F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ivot tabel" sheetId="5" r:id="rId1"/>
    <sheet name="Grafik" sheetId="6" r:id="rId2"/>
    <sheet name="Jawaban" sheetId="9" r:id="rId3"/>
    <sheet name="Tabel Referensi" sheetId="1" r:id="rId4"/>
    <sheet name="Tabel Input" sheetId="3" r:id="rId5"/>
    <sheet name="Instruksi Latihan" sheetId="2" r:id="rId6"/>
  </sheets>
  <definedNames>
    <definedName name="_xlnm._FilterDatabase" localSheetId="5" hidden="1">'Instruksi Latihan'!$A$1:$A$1</definedName>
    <definedName name="_xlnm._FilterDatabase" localSheetId="3" hidden="1">'Tabel Referensi'!$A$1:$P$603</definedName>
  </definedNames>
  <calcPr calcId="191029"/>
  <pivotCaches>
    <pivotCache cacheId="33" r:id="rId7"/>
    <pivotCache cacheId="4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7" i="1" l="1"/>
  <c r="I444" i="1"/>
  <c r="I318" i="1"/>
  <c r="I310" i="1"/>
  <c r="I273" i="1"/>
  <c r="I259" i="1"/>
  <c r="S17" i="1" s="1"/>
  <c r="I235" i="1"/>
  <c r="Q17" i="1" s="1"/>
  <c r="I133" i="1"/>
  <c r="W17" i="1" s="1"/>
  <c r="I91" i="1"/>
  <c r="T17" i="1" s="1"/>
  <c r="I10" i="1"/>
  <c r="P17" i="1"/>
  <c r="U17" i="1"/>
  <c r="V17" i="1"/>
  <c r="O17" i="1"/>
  <c r="Q11" i="1"/>
  <c r="R11" i="1"/>
  <c r="D24" i="2"/>
  <c r="B8" i="3"/>
  <c r="B10" i="3"/>
  <c r="B11" i="3"/>
  <c r="B20" i="3"/>
  <c r="B21" i="3"/>
  <c r="B22" i="3"/>
  <c r="B24" i="3"/>
  <c r="B32" i="3"/>
  <c r="B44" i="3"/>
  <c r="B57" i="3"/>
  <c r="B58" i="3"/>
  <c r="B59" i="3"/>
  <c r="B68" i="3"/>
  <c r="B69" i="3"/>
  <c r="B70" i="3"/>
  <c r="B72" i="3"/>
  <c r="B92" i="3"/>
  <c r="B104" i="3"/>
  <c r="B105" i="3"/>
  <c r="B106" i="3"/>
  <c r="B107" i="3"/>
  <c r="B116" i="3"/>
  <c r="B117" i="3"/>
  <c r="B118" i="3"/>
  <c r="B120" i="3"/>
  <c r="B128" i="3"/>
  <c r="B140" i="3"/>
  <c r="B152" i="3"/>
  <c r="B153" i="3"/>
  <c r="B154" i="3"/>
  <c r="B155" i="3"/>
  <c r="B164" i="3"/>
  <c r="B165" i="3"/>
  <c r="B176" i="3"/>
  <c r="B188" i="3"/>
  <c r="B200" i="3"/>
  <c r="B201" i="3"/>
  <c r="B202" i="3"/>
  <c r="B203" i="3"/>
  <c r="B224" i="3"/>
  <c r="B236" i="3"/>
  <c r="B248" i="3"/>
  <c r="B249" i="3"/>
  <c r="B251" i="3"/>
  <c r="B260" i="3"/>
  <c r="B262" i="3"/>
  <c r="B264" i="3"/>
  <c r="B265" i="3"/>
  <c r="B272" i="3"/>
  <c r="B284" i="3"/>
  <c r="B308" i="3"/>
  <c r="B309" i="3"/>
  <c r="B310" i="3"/>
  <c r="B312" i="3"/>
  <c r="B313" i="3"/>
  <c r="B320" i="3"/>
  <c r="B344" i="3"/>
  <c r="B346" i="3"/>
  <c r="B347" i="3"/>
  <c r="B356" i="3"/>
  <c r="B357" i="3"/>
  <c r="B358" i="3"/>
  <c r="B359" i="3"/>
  <c r="B360" i="3"/>
  <c r="B368" i="3"/>
  <c r="B369" i="3"/>
  <c r="B3" i="3"/>
  <c r="B4" i="3"/>
  <c r="B5" i="3"/>
  <c r="B6" i="3"/>
  <c r="B7" i="3"/>
  <c r="B9" i="3"/>
  <c r="B12" i="3"/>
  <c r="B13" i="3"/>
  <c r="B14" i="3"/>
  <c r="B15" i="3"/>
  <c r="B16" i="3"/>
  <c r="B17" i="3"/>
  <c r="B18" i="3"/>
  <c r="B19" i="3"/>
  <c r="B23" i="3"/>
  <c r="B25" i="3"/>
  <c r="B26" i="3"/>
  <c r="B27" i="3"/>
  <c r="B28" i="3"/>
  <c r="B29" i="3"/>
  <c r="B30" i="3"/>
  <c r="B31" i="3"/>
  <c r="B33" i="3"/>
  <c r="B34" i="3"/>
  <c r="B35" i="3"/>
  <c r="B36" i="3"/>
  <c r="B37" i="3"/>
  <c r="B38" i="3"/>
  <c r="B39" i="3"/>
  <c r="B40" i="3"/>
  <c r="B41" i="3"/>
  <c r="B42" i="3"/>
  <c r="B43" i="3"/>
  <c r="B45" i="3"/>
  <c r="B46" i="3"/>
  <c r="B47" i="3"/>
  <c r="B48" i="3"/>
  <c r="B49" i="3"/>
  <c r="B50" i="3"/>
  <c r="B51" i="3"/>
  <c r="B52" i="3"/>
  <c r="B53" i="3"/>
  <c r="B54" i="3"/>
  <c r="B55" i="3"/>
  <c r="B56" i="3"/>
  <c r="B60" i="3"/>
  <c r="B61" i="3"/>
  <c r="B62" i="3"/>
  <c r="B63" i="3"/>
  <c r="B64" i="3"/>
  <c r="B65" i="3"/>
  <c r="B66" i="3"/>
  <c r="B67" i="3"/>
  <c r="B71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3" i="3"/>
  <c r="B94" i="3"/>
  <c r="B95" i="3"/>
  <c r="B96" i="3"/>
  <c r="B97" i="3"/>
  <c r="B98" i="3"/>
  <c r="B99" i="3"/>
  <c r="B100" i="3"/>
  <c r="B101" i="3"/>
  <c r="B102" i="3"/>
  <c r="B103" i="3"/>
  <c r="B108" i="3"/>
  <c r="B109" i="3"/>
  <c r="B110" i="3"/>
  <c r="B111" i="3"/>
  <c r="B112" i="3"/>
  <c r="B113" i="3"/>
  <c r="B114" i="3"/>
  <c r="B115" i="3"/>
  <c r="B119" i="3"/>
  <c r="B121" i="3"/>
  <c r="B122" i="3"/>
  <c r="B123" i="3"/>
  <c r="B124" i="3"/>
  <c r="B125" i="3"/>
  <c r="B126" i="3"/>
  <c r="B127" i="3"/>
  <c r="B129" i="3"/>
  <c r="B130" i="3"/>
  <c r="B131" i="3"/>
  <c r="B132" i="3"/>
  <c r="B133" i="3"/>
  <c r="B134" i="3"/>
  <c r="B135" i="3"/>
  <c r="B136" i="3"/>
  <c r="B137" i="3"/>
  <c r="B138" i="3"/>
  <c r="B139" i="3"/>
  <c r="B141" i="3"/>
  <c r="B142" i="3"/>
  <c r="B143" i="3"/>
  <c r="B144" i="3"/>
  <c r="B145" i="3"/>
  <c r="B146" i="3"/>
  <c r="B147" i="3"/>
  <c r="B148" i="3"/>
  <c r="B149" i="3"/>
  <c r="B150" i="3"/>
  <c r="B151" i="3"/>
  <c r="B156" i="3"/>
  <c r="B157" i="3"/>
  <c r="B158" i="3"/>
  <c r="B159" i="3"/>
  <c r="B160" i="3"/>
  <c r="B161" i="3"/>
  <c r="B162" i="3"/>
  <c r="B163" i="3"/>
  <c r="B166" i="3"/>
  <c r="B167" i="3"/>
  <c r="B168" i="3"/>
  <c r="B169" i="3"/>
  <c r="B170" i="3"/>
  <c r="B171" i="3"/>
  <c r="B172" i="3"/>
  <c r="B173" i="3"/>
  <c r="B174" i="3"/>
  <c r="B175" i="3"/>
  <c r="B177" i="3"/>
  <c r="B178" i="3"/>
  <c r="B179" i="3"/>
  <c r="B180" i="3"/>
  <c r="B181" i="3"/>
  <c r="B182" i="3"/>
  <c r="B183" i="3"/>
  <c r="B184" i="3"/>
  <c r="B185" i="3"/>
  <c r="B186" i="3"/>
  <c r="B187" i="3"/>
  <c r="B189" i="3"/>
  <c r="B190" i="3"/>
  <c r="B191" i="3"/>
  <c r="B192" i="3"/>
  <c r="B193" i="3"/>
  <c r="B194" i="3"/>
  <c r="B195" i="3"/>
  <c r="B196" i="3"/>
  <c r="B197" i="3"/>
  <c r="B198" i="3"/>
  <c r="B199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5" i="3"/>
  <c r="B226" i="3"/>
  <c r="B227" i="3"/>
  <c r="B228" i="3"/>
  <c r="B229" i="3"/>
  <c r="B230" i="3"/>
  <c r="B231" i="3"/>
  <c r="B232" i="3"/>
  <c r="B233" i="3"/>
  <c r="B234" i="3"/>
  <c r="B235" i="3"/>
  <c r="B237" i="3"/>
  <c r="B238" i="3"/>
  <c r="B239" i="3"/>
  <c r="B240" i="3"/>
  <c r="B241" i="3"/>
  <c r="B242" i="3"/>
  <c r="B243" i="3"/>
  <c r="B244" i="3"/>
  <c r="B245" i="3"/>
  <c r="B246" i="3"/>
  <c r="B247" i="3"/>
  <c r="B250" i="3"/>
  <c r="B252" i="3"/>
  <c r="B253" i="3"/>
  <c r="B254" i="3"/>
  <c r="B255" i="3"/>
  <c r="B256" i="3"/>
  <c r="B257" i="3"/>
  <c r="B258" i="3"/>
  <c r="B259" i="3"/>
  <c r="B261" i="3"/>
  <c r="B263" i="3"/>
  <c r="B266" i="3"/>
  <c r="B267" i="3"/>
  <c r="B268" i="3"/>
  <c r="B269" i="3"/>
  <c r="B270" i="3"/>
  <c r="B271" i="3"/>
  <c r="B273" i="3"/>
  <c r="B274" i="3"/>
  <c r="B275" i="3"/>
  <c r="B276" i="3"/>
  <c r="B277" i="3"/>
  <c r="B278" i="3"/>
  <c r="B279" i="3"/>
  <c r="B280" i="3"/>
  <c r="B281" i="3"/>
  <c r="B282" i="3"/>
  <c r="B283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11" i="3"/>
  <c r="B314" i="3"/>
  <c r="B315" i="3"/>
  <c r="B316" i="3"/>
  <c r="B317" i="3"/>
  <c r="B318" i="3"/>
  <c r="B319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5" i="3"/>
  <c r="B348" i="3"/>
  <c r="B349" i="3"/>
  <c r="B350" i="3"/>
  <c r="B351" i="3"/>
  <c r="B352" i="3"/>
  <c r="B353" i="3"/>
  <c r="B354" i="3"/>
  <c r="B355" i="3"/>
  <c r="B361" i="3"/>
  <c r="B362" i="3"/>
  <c r="B363" i="3"/>
  <c r="B364" i="3"/>
  <c r="B365" i="3"/>
  <c r="B366" i="3"/>
  <c r="B367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2" i="3"/>
  <c r="P11" i="1" l="1"/>
  <c r="O11" i="1"/>
  <c r="X17" i="1"/>
  <c r="B91" i="3"/>
  <c r="S11" i="1"/>
  <c r="I170" i="1"/>
  <c r="R17" i="1" s="1"/>
  <c r="O13" i="1" l="1"/>
  <c r="O19" i="1"/>
</calcChain>
</file>

<file path=xl/sharedStrings.xml><?xml version="1.0" encoding="utf-8"?>
<sst xmlns="http://schemas.openxmlformats.org/spreadsheetml/2006/main" count="6038" uniqueCount="1027">
  <si>
    <t>Order ID</t>
  </si>
  <si>
    <t>Nama Customer</t>
  </si>
  <si>
    <t>Kota</t>
  </si>
  <si>
    <t>Kategori</t>
  </si>
  <si>
    <t>Produk</t>
  </si>
  <si>
    <t>Qty</t>
  </si>
  <si>
    <t>Harga Satuan</t>
  </si>
  <si>
    <t>Tanggal Order</t>
  </si>
  <si>
    <t>Metode Bayar</t>
  </si>
  <si>
    <t>Status</t>
  </si>
  <si>
    <t>088562606029</t>
  </si>
  <si>
    <t>Kecantikan</t>
  </si>
  <si>
    <t>Serum Vitamin C</t>
  </si>
  <si>
    <t>QRIS</t>
  </si>
  <si>
    <t>Selesai</t>
  </si>
  <si>
    <t>Rumah Tangga</t>
  </si>
  <si>
    <t>Rak Serbaguna</t>
  </si>
  <si>
    <t>E-Wallet</t>
  </si>
  <si>
    <t>Makanan</t>
  </si>
  <si>
    <t>Keripik Singkong</t>
  </si>
  <si>
    <t>Dikirim</t>
  </si>
  <si>
    <t>Zaki Nugroho</t>
  </si>
  <si>
    <t>08210202758</t>
  </si>
  <si>
    <t>Bandung</t>
  </si>
  <si>
    <t>Transfer Bank</t>
  </si>
  <si>
    <t>Dibatalkan</t>
  </si>
  <si>
    <t>Cokelat Batang</t>
  </si>
  <si>
    <t>Retur</t>
  </si>
  <si>
    <t>08657224029</t>
  </si>
  <si>
    <t>Elektronik</t>
  </si>
  <si>
    <t>Kabel Data USB-C</t>
  </si>
  <si>
    <t>Diproses</t>
  </si>
  <si>
    <t>088831472760</t>
  </si>
  <si>
    <t>Jakarta</t>
  </si>
  <si>
    <t>Fashion</t>
  </si>
  <si>
    <t>Kaos Polos</t>
  </si>
  <si>
    <t>COD</t>
  </si>
  <si>
    <t>Jaket Hoodie</t>
  </si>
  <si>
    <t>08999173816</t>
  </si>
  <si>
    <t>Micellar Water</t>
  </si>
  <si>
    <t>Kartu Kredit</t>
  </si>
  <si>
    <t>Mouse Wireless</t>
  </si>
  <si>
    <t>Lampu LED</t>
  </si>
  <si>
    <t>088030102724</t>
  </si>
  <si>
    <t>08236851604</t>
  </si>
  <si>
    <t>Celana Jeans</t>
  </si>
  <si>
    <t>Malang</t>
  </si>
  <si>
    <t>Kemeja Flanel</t>
  </si>
  <si>
    <t>088997179110</t>
  </si>
  <si>
    <t>Tempat Sampah</t>
  </si>
  <si>
    <t>Sunscreen SPF50</t>
  </si>
  <si>
    <t>088310094318</t>
  </si>
  <si>
    <t>Teh Celup Box</t>
  </si>
  <si>
    <t>088455884506</t>
  </si>
  <si>
    <t>Rian Gunawan</t>
  </si>
  <si>
    <t>Gantungan Baju</t>
  </si>
  <si>
    <t>08368970283</t>
  </si>
  <si>
    <t>Kopi Sachet 1kg</t>
  </si>
  <si>
    <t>Hadi Kusuma</t>
  </si>
  <si>
    <t>Yogyakarta</t>
  </si>
  <si>
    <t>Gita Marpaung</t>
  </si>
  <si>
    <t>Lip Cream</t>
  </si>
  <si>
    <t>08745508428</t>
  </si>
  <si>
    <t>Denpasar</t>
  </si>
  <si>
    <t>Speaker Mini</t>
  </si>
  <si>
    <t>08825952694</t>
  </si>
  <si>
    <t>Medan</t>
  </si>
  <si>
    <t>Powerbank 10000mAh</t>
  </si>
  <si>
    <t>088830220502</t>
  </si>
  <si>
    <t>088076810409</t>
  </si>
  <si>
    <t>Madu Hutan 500ml</t>
  </si>
  <si>
    <t>Masker Wajah</t>
  </si>
  <si>
    <t>08272785760</t>
  </si>
  <si>
    <t>Sapu Lidi</t>
  </si>
  <si>
    <t>088742333059</t>
  </si>
  <si>
    <t>Umi Marpaung</t>
  </si>
  <si>
    <t>088788116162</t>
  </si>
  <si>
    <t>Topi Baseball</t>
  </si>
  <si>
    <t>08069375150</t>
  </si>
  <si>
    <t>088965328710</t>
  </si>
  <si>
    <t>Eka Saputra</t>
  </si>
  <si>
    <t>Headphone Bluetooth</t>
  </si>
  <si>
    <t>Palembang</t>
  </si>
  <si>
    <t>Budi Nasution</t>
  </si>
  <si>
    <t>08844431069</t>
  </si>
  <si>
    <t>Rian Siregar</t>
  </si>
  <si>
    <t>Semarang</t>
  </si>
  <si>
    <t>088633752431</t>
  </si>
  <si>
    <t>08660464197</t>
  </si>
  <si>
    <t>Andi Hidayat</t>
  </si>
  <si>
    <t>Yani Gunawan</t>
  </si>
  <si>
    <t>08667665061</t>
  </si>
  <si>
    <t>08202590947</t>
  </si>
  <si>
    <t>08659171357</t>
  </si>
  <si>
    <t>Fajar Kusuma</t>
  </si>
  <si>
    <t>088081647090</t>
  </si>
  <si>
    <t>088931746120</t>
  </si>
  <si>
    <t>Ahmad Hidayat</t>
  </si>
  <si>
    <t>08046374549</t>
  </si>
  <si>
    <t>Lina Wijaya</t>
  </si>
  <si>
    <t>088195625257</t>
  </si>
  <si>
    <t>08422091241</t>
  </si>
  <si>
    <t>Nita Gunawan</t>
  </si>
  <si>
    <t>08760146723</t>
  </si>
  <si>
    <t>08427624671</t>
  </si>
  <si>
    <t>Oki Simatupang</t>
  </si>
  <si>
    <t>088764472649</t>
  </si>
  <si>
    <t>088206788317</t>
  </si>
  <si>
    <t>Oki Wijaya</t>
  </si>
  <si>
    <t>Fitri Wijaya</t>
  </si>
  <si>
    <t>08148902503</t>
  </si>
  <si>
    <t>088336138612</t>
  </si>
  <si>
    <t>088766558685</t>
  </si>
  <si>
    <t>088758598831</t>
  </si>
  <si>
    <t>08263013674</t>
  </si>
  <si>
    <t>Tono Siregar</t>
  </si>
  <si>
    <t>Oki Santoso</t>
  </si>
  <si>
    <t>Makassar</t>
  </si>
  <si>
    <t>08498436241</t>
  </si>
  <si>
    <t>088936183242</t>
  </si>
  <si>
    <t>Hadi Simatupang</t>
  </si>
  <si>
    <t>088115542622</t>
  </si>
  <si>
    <t>Lina Siregar</t>
  </si>
  <si>
    <t>Gita Halim</t>
  </si>
  <si>
    <t>08713900532</t>
  </si>
  <si>
    <t>Tono Saputra</t>
  </si>
  <si>
    <t>088564641708</t>
  </si>
  <si>
    <t>08959351863</t>
  </si>
  <si>
    <t>Dewi Siregar</t>
  </si>
  <si>
    <t>088538179217</t>
  </si>
  <si>
    <t>Zaki Halim</t>
  </si>
  <si>
    <t>088836674286</t>
  </si>
  <si>
    <t>Lina Setiawan</t>
  </si>
  <si>
    <t>088870104159</t>
  </si>
  <si>
    <t>088324268774</t>
  </si>
  <si>
    <t>Fitri Siregar</t>
  </si>
  <si>
    <t>Umi Santoso</t>
  </si>
  <si>
    <t>088126788861</t>
  </si>
  <si>
    <t>08855716176</t>
  </si>
  <si>
    <t>Made Halim</t>
  </si>
  <si>
    <t>088674266299</t>
  </si>
  <si>
    <t>08290227846</t>
  </si>
  <si>
    <t>Tono Nasution</t>
  </si>
  <si>
    <t>088279194096</t>
  </si>
  <si>
    <t>08636374545</t>
  </si>
  <si>
    <t>Fajar Nasution</t>
  </si>
  <si>
    <t>08351609177</t>
  </si>
  <si>
    <t>088747472197</t>
  </si>
  <si>
    <t>Surabaya</t>
  </si>
  <si>
    <t>Erik Simatupang</t>
  </si>
  <si>
    <t>088258313237</t>
  </si>
  <si>
    <t>Putri Hidayat</t>
  </si>
  <si>
    <t>Vina Santoso</t>
  </si>
  <si>
    <t>088466590515</t>
  </si>
  <si>
    <t>Rian Halim</t>
  </si>
  <si>
    <t>Vina Pratama</t>
  </si>
  <si>
    <t>08013389083</t>
  </si>
  <si>
    <t>088389448463</t>
  </si>
  <si>
    <t>Kiki Kusuma</t>
  </si>
  <si>
    <t>088021962071</t>
  </si>
  <si>
    <t>Joko Nugroho</t>
  </si>
  <si>
    <t>08262570165</t>
  </si>
  <si>
    <t>088417146774</t>
  </si>
  <si>
    <t>08312038750</t>
  </si>
  <si>
    <t>088811437447</t>
  </si>
  <si>
    <t>Tono Lestari</t>
  </si>
  <si>
    <t>Andi Nugroho</t>
  </si>
  <si>
    <t>Dewi Saputra</t>
  </si>
  <si>
    <t>088101372151</t>
  </si>
  <si>
    <t>088210205395</t>
  </si>
  <si>
    <t>08059274523</t>
  </si>
  <si>
    <t>088451046368</t>
  </si>
  <si>
    <t>088325411076</t>
  </si>
  <si>
    <t>Fajar Rahayu</t>
  </si>
  <si>
    <t>088611076031</t>
  </si>
  <si>
    <t>088491905865</t>
  </si>
  <si>
    <t>088094388221</t>
  </si>
  <si>
    <t>Nita Simatupang</t>
  </si>
  <si>
    <t>088870079420</t>
  </si>
  <si>
    <t>Putri Saputra</t>
  </si>
  <si>
    <t>08164840858</t>
  </si>
  <si>
    <t>Ahmad Siregar</t>
  </si>
  <si>
    <t>08491630097</t>
  </si>
  <si>
    <t>08605016679</t>
  </si>
  <si>
    <t>Eka Nasution</t>
  </si>
  <si>
    <t>088306178932</t>
  </si>
  <si>
    <t>Oki Setiawan</t>
  </si>
  <si>
    <t>088595565749</t>
  </si>
  <si>
    <t>Dian Lestari</t>
  </si>
  <si>
    <t>088597820715</t>
  </si>
  <si>
    <t>Hadi Siregar</t>
  </si>
  <si>
    <t>08726247317</t>
  </si>
  <si>
    <t>088662702895</t>
  </si>
  <si>
    <t>08651982530</t>
  </si>
  <si>
    <t>Dewi Rahayu</t>
  </si>
  <si>
    <t>088565452711</t>
  </si>
  <si>
    <t>Fajar Wijaya</t>
  </si>
  <si>
    <t>Eka Rahayu</t>
  </si>
  <si>
    <t>088172959639</t>
  </si>
  <si>
    <t>08207545279</t>
  </si>
  <si>
    <t>Joko Gunawan</t>
  </si>
  <si>
    <t>088316526693</t>
  </si>
  <si>
    <t>088256609314</t>
  </si>
  <si>
    <t>088478700505</t>
  </si>
  <si>
    <t>088441448850</t>
  </si>
  <si>
    <t>088335548640</t>
  </si>
  <si>
    <t>088778485880</t>
  </si>
  <si>
    <t>08130232129</t>
  </si>
  <si>
    <t>08152742054</t>
  </si>
  <si>
    <t>088710910430</t>
  </si>
  <si>
    <t>08971179808</t>
  </si>
  <si>
    <t>Putri Santoso</t>
  </si>
  <si>
    <t>Vina Halim</t>
  </si>
  <si>
    <t>088724399201</t>
  </si>
  <si>
    <t>Indah Marpaung</t>
  </si>
  <si>
    <t>Vina Nasution</t>
  </si>
  <si>
    <t>08014138113</t>
  </si>
  <si>
    <t>Kiki Halim</t>
  </si>
  <si>
    <t>088305548851</t>
  </si>
  <si>
    <t>Fajar Simatupang</t>
  </si>
  <si>
    <t>08517182754</t>
  </si>
  <si>
    <t>088285574982</t>
  </si>
  <si>
    <t>088257775478</t>
  </si>
  <si>
    <t>08656999880</t>
  </si>
  <si>
    <t>08893639264</t>
  </si>
  <si>
    <t>08200894346</t>
  </si>
  <si>
    <t>08491141520</t>
  </si>
  <si>
    <t>08225267711</t>
  </si>
  <si>
    <t>Bella Wijaya</t>
  </si>
  <si>
    <t>08673204413</t>
  </si>
  <si>
    <t>088101666870</t>
  </si>
  <si>
    <t>08790507236</t>
  </si>
  <si>
    <t>Kiki Siregar</t>
  </si>
  <si>
    <t>088542770707</t>
  </si>
  <si>
    <t>Citra Simatupang</t>
  </si>
  <si>
    <t>088929378427</t>
  </si>
  <si>
    <t>08853890972</t>
  </si>
  <si>
    <t>088247510799</t>
  </si>
  <si>
    <t>08873397855</t>
  </si>
  <si>
    <t>Zaki Wijaya</t>
  </si>
  <si>
    <t>088520744666</t>
  </si>
  <si>
    <t>08775803046</t>
  </si>
  <si>
    <t>Vina Siregar</t>
  </si>
  <si>
    <t>088783099974</t>
  </si>
  <si>
    <t>Bella Marpaung</t>
  </si>
  <si>
    <t>Ahmad Marpaung</t>
  </si>
  <si>
    <t>088672946671</t>
  </si>
  <si>
    <t>088498926659</t>
  </si>
  <si>
    <t>Putri Nasution</t>
  </si>
  <si>
    <t>08985698478</t>
  </si>
  <si>
    <t>Putri Pratama</t>
  </si>
  <si>
    <t>Wawan Rahayu</t>
  </si>
  <si>
    <t>08451076226</t>
  </si>
  <si>
    <t>08137213865</t>
  </si>
  <si>
    <t>Citra Kusuma</t>
  </si>
  <si>
    <t>08027523343</t>
  </si>
  <si>
    <t>088979729659</t>
  </si>
  <si>
    <t>Andi Marpaung</t>
  </si>
  <si>
    <t>08113072407</t>
  </si>
  <si>
    <t>08220317310</t>
  </si>
  <si>
    <t>088883607658</t>
  </si>
  <si>
    <t>08393250124</t>
  </si>
  <si>
    <t>088675254599</t>
  </si>
  <si>
    <t>088568299629</t>
  </si>
  <si>
    <t>Citra Setiawan</t>
  </si>
  <si>
    <t>088697499564</t>
  </si>
  <si>
    <t>08603029922</t>
  </si>
  <si>
    <t>08933472122</t>
  </si>
  <si>
    <t>08482070015</t>
  </si>
  <si>
    <t>088687409038</t>
  </si>
  <si>
    <t>088545897148</t>
  </si>
  <si>
    <t>Yani Halim</t>
  </si>
  <si>
    <t>08663778052</t>
  </si>
  <si>
    <t>088028457652</t>
  </si>
  <si>
    <t>088521103924</t>
  </si>
  <si>
    <t>Umi Siregar</t>
  </si>
  <si>
    <t>08220781137</t>
  </si>
  <si>
    <t>Rian Kusuma</t>
  </si>
  <si>
    <t>08683415599</t>
  </si>
  <si>
    <t>08490211586</t>
  </si>
  <si>
    <t>08459332727</t>
  </si>
  <si>
    <t>Eka Simatupang</t>
  </si>
  <si>
    <t>088814973746</t>
  </si>
  <si>
    <t>08153355543</t>
  </si>
  <si>
    <t>Dewi Marpaung</t>
  </si>
  <si>
    <t>08762282772</t>
  </si>
  <si>
    <t>088291093371</t>
  </si>
  <si>
    <t>Chandra Saputra</t>
  </si>
  <si>
    <t>088376452088</t>
  </si>
  <si>
    <t>Lina Gunawan</t>
  </si>
  <si>
    <t>08438303419</t>
  </si>
  <si>
    <t>08866041644</t>
  </si>
  <si>
    <t>Fitri Kusuma</t>
  </si>
  <si>
    <t>088775140105</t>
  </si>
  <si>
    <t>088797245723</t>
  </si>
  <si>
    <t>Budi Saputra</t>
  </si>
  <si>
    <t>08039282722</t>
  </si>
  <si>
    <t>Kiki Lestari</t>
  </si>
  <si>
    <t>088487920698</t>
  </si>
  <si>
    <t>08629148652</t>
  </si>
  <si>
    <t>088137116241</t>
  </si>
  <si>
    <t>088498084124</t>
  </si>
  <si>
    <t>088662056341</t>
  </si>
  <si>
    <t>Erik Lestari</t>
  </si>
  <si>
    <t>Oki Kusuma</t>
  </si>
  <si>
    <t>Eka Gunawan</t>
  </si>
  <si>
    <t>08649383184</t>
  </si>
  <si>
    <t>08416128463</t>
  </si>
  <si>
    <t>088249839225</t>
  </si>
  <si>
    <t>088877293430</t>
  </si>
  <si>
    <t>088615594078</t>
  </si>
  <si>
    <t>Hadi Lestari</t>
  </si>
  <si>
    <t>088327877470</t>
  </si>
  <si>
    <t>088563213580</t>
  </si>
  <si>
    <t>088477695874</t>
  </si>
  <si>
    <t>Fajar Setiawan</t>
  </si>
  <si>
    <t>08774064930</t>
  </si>
  <si>
    <t>Made Siregar</t>
  </si>
  <si>
    <t>088058925832</t>
  </si>
  <si>
    <t>088412182097</t>
  </si>
  <si>
    <t>08107051843</t>
  </si>
  <si>
    <t>Fitri Simatupang</t>
  </si>
  <si>
    <t>088357134324</t>
  </si>
  <si>
    <t>Bella Siregar</t>
  </si>
  <si>
    <t>08862405800</t>
  </si>
  <si>
    <t>Budi Simatupang</t>
  </si>
  <si>
    <t>088621815997</t>
  </si>
  <si>
    <t>Zaki Lestari</t>
  </si>
  <si>
    <t>08508637659</t>
  </si>
  <si>
    <t>088554393769</t>
  </si>
  <si>
    <t>08559630993</t>
  </si>
  <si>
    <t>Eka Setiawan</t>
  </si>
  <si>
    <t>088044851579</t>
  </si>
  <si>
    <t>Wawan Santoso</t>
  </si>
  <si>
    <t>088982544948</t>
  </si>
  <si>
    <t>08094818139</t>
  </si>
  <si>
    <t>08152017774</t>
  </si>
  <si>
    <t>Vina Gunawan</t>
  </si>
  <si>
    <t>08695236687</t>
  </si>
  <si>
    <t>088163928234</t>
  </si>
  <si>
    <t>08162526546</t>
  </si>
  <si>
    <t>08518233749</t>
  </si>
  <si>
    <t>08090225999</t>
  </si>
  <si>
    <t>08931109193</t>
  </si>
  <si>
    <t>088210388629</t>
  </si>
  <si>
    <t>08806578759</t>
  </si>
  <si>
    <t>088504481832</t>
  </si>
  <si>
    <t>08219136193</t>
  </si>
  <si>
    <t>088971024817</t>
  </si>
  <si>
    <t>08804661963</t>
  </si>
  <si>
    <t>08016923645</t>
  </si>
  <si>
    <t>Citra Marpaung</t>
  </si>
  <si>
    <t>088685014294</t>
  </si>
  <si>
    <t>Wawan Nugroho</t>
  </si>
  <si>
    <t>088026206724</t>
  </si>
  <si>
    <t>Wawan Hidayat</t>
  </si>
  <si>
    <t>08438427978</t>
  </si>
  <si>
    <t>08263296762</t>
  </si>
  <si>
    <t>08442944401</t>
  </si>
  <si>
    <t>Chandra Santoso</t>
  </si>
  <si>
    <t>Dewi Simatupang</t>
  </si>
  <si>
    <t>Erik Wijaya</t>
  </si>
  <si>
    <t>088971252967</t>
  </si>
  <si>
    <t>088197199758</t>
  </si>
  <si>
    <t>Bella Simatupang</t>
  </si>
  <si>
    <t>08068887189</t>
  </si>
  <si>
    <t>Lina Kusuma</t>
  </si>
  <si>
    <t>088922877725</t>
  </si>
  <si>
    <t>08058093511</t>
  </si>
  <si>
    <t>Yani Santoso</t>
  </si>
  <si>
    <t>08317970623</t>
  </si>
  <si>
    <t>08954107272</t>
  </si>
  <si>
    <t>088771906594</t>
  </si>
  <si>
    <t>088463175207</t>
  </si>
  <si>
    <t>088028767548</t>
  </si>
  <si>
    <t>08612286852</t>
  </si>
  <si>
    <t>Fitri Nugroho</t>
  </si>
  <si>
    <t>08147859696</t>
  </si>
  <si>
    <t>LATIHAN EXCEL - DATA CLEANING &amp; ANALYSIS</t>
  </si>
  <si>
    <t>Dataset ini SENGAJA dibuat kotor, seperti kondisi data asli di kerjaan.</t>
  </si>
  <si>
    <t>Masalah yang sengaja ada di dalam data:</t>
  </si>
  <si>
    <t>1. Nama customer: ada spasi berlebih, huruf besar/kecil gak konsisten</t>
  </si>
  <si>
    <t>2. Kota: ada yang UPPERCASE, lowercase, ada spasi di depan/belakang</t>
  </si>
  <si>
    <t>3. No HP: format beda-beda (08xxx, +628xxx, 628xxx), ada yang kosong</t>
  </si>
  <si>
    <t>4. Tanggal Order: format beda-beda tiap baris (DD/MM/YYYY, YYYY-MM-DD, dll)</t>
  </si>
  <si>
    <t>5. Ada baris duplikat (order yang persis sama muncul 2x)</t>
  </si>
  <si>
    <t>6. Ada Qty dan Harga Satuan yang kosong (missing values)</t>
  </si>
  <si>
    <t>TUGAS LATIHAN (urutan disarankan):</t>
  </si>
  <si>
    <t>1. DATA CLEANING</t>
  </si>
  <si>
    <t xml:space="preserve">   - Bersihkan nama customer: TRIM spasi, samakan jadi Proper Case (pakai PROPER())</t>
  </si>
  <si>
    <t xml:space="preserve">   - Bersihkan kota: samakan formatnya (PROPER + TRIM)</t>
  </si>
  <si>
    <t xml:space="preserve">   - Cari &amp; hapus baris duplikat (Data &gt; Remove Duplicates)</t>
  </si>
  <si>
    <t xml:space="preserve">   - Cari baris dengan Qty/Harga kosong, putuskan: isi manual, hapus, atau tandai</t>
  </si>
  <si>
    <t xml:space="preserve">   - Rapikan format No HP jadi satu format konsisten, contoh: 08xxxxxxxxxx</t>
  </si>
  <si>
    <t>2. FORMULA</t>
  </si>
  <si>
    <t xml:space="preserve">   - Buat kolom baru 'Total Harga' = Qty x Harga Satuan</t>
  </si>
  <si>
    <t xml:space="preserve">   - Pakai COUNTIF: berapa jumlah order per Status (Selesai/Dibatalkan/dst)</t>
  </si>
  <si>
    <t xml:space="preserve">   - Pakai SUMIF/SUMIFS: total penjualan per Kategori, atau per Kota</t>
  </si>
  <si>
    <t xml:space="preserve">   - Pakai XLOOKUP/VLOOKUP: cari data customer tertentu berdasarkan Order ID</t>
  </si>
  <si>
    <t>3. PIVOT TABLE</t>
  </si>
  <si>
    <t xml:space="preserve">   - Total penjualan per Kategori produk</t>
  </si>
  <si>
    <t xml:space="preserve">   - Jumlah order per Kota</t>
  </si>
  <si>
    <t xml:space="preserve">   - Total penjualan per Bulan (group tanggal jadi per bulan)</t>
  </si>
  <si>
    <t>4. VISUALISASI</t>
  </si>
  <si>
    <t xml:space="preserve">   - Bar chart: penjualan per kategori</t>
  </si>
  <si>
    <t xml:space="preserve">   - Line chart: tren penjualan per bulan</t>
  </si>
  <si>
    <t xml:space="preserve">   - Pie chart: proporsi metode pembayaran</t>
  </si>
  <si>
    <t>5. AD-HOC REQUEST SIMULATION (latihan skenario kerja nyata)</t>
  </si>
  <si>
    <t xml:space="preserve">   Coba jawab pertanyaan ini pakai data yang udah kamu bersihkan:</t>
  </si>
  <si>
    <t xml:space="preserve">   - 'Produk apa yang paling laku bulan tertentu?'</t>
  </si>
  <si>
    <t xml:space="preserve">   - 'Kota mana yang order-nya paling banyak dibatalkan/retur?'</t>
  </si>
  <si>
    <t xml:space="preserve">   - 'Kirimkan data customer di kota X yang order-nya Selesai, untuk campaign'</t>
  </si>
  <si>
    <t xml:space="preserve">     (ini persis kayak ad-hoc request: harus di-filter &amp; di-clean dulu sebelum dikirim)</t>
  </si>
  <si>
    <t>Tips: kerjain di sheet baru / copy sheet data mentah dulu, biar data aslinya</t>
  </si>
  <si>
    <t>tetap ada buat kamu bandingkan before-after.</t>
  </si>
  <si>
    <t>Kota(Proper)</t>
  </si>
  <si>
    <t>No HP New</t>
  </si>
  <si>
    <t xml:space="preserve">Total Harga </t>
  </si>
  <si>
    <t xml:space="preserve">Retur </t>
  </si>
  <si>
    <t>Jumlah Order Per Status</t>
  </si>
  <si>
    <t>Total Penjualan/Kategori</t>
  </si>
  <si>
    <t>Total Penjualan/Kota</t>
  </si>
  <si>
    <t>No HP</t>
  </si>
  <si>
    <t>Name(Proper)Without ID</t>
  </si>
  <si>
    <t>Nita Marpaung</t>
  </si>
  <si>
    <t>088963919195</t>
  </si>
  <si>
    <t>Dian Hidayat</t>
  </si>
  <si>
    <t>088716947225</t>
  </si>
  <si>
    <t>088723246651</t>
  </si>
  <si>
    <t>Fitri Hidayat</t>
  </si>
  <si>
    <t>Joko Simatupang</t>
  </si>
  <si>
    <t>088065019179</t>
  </si>
  <si>
    <t>Zaki Rahayu</t>
  </si>
  <si>
    <t>Rian Simatupang</t>
  </si>
  <si>
    <t>088016245650</t>
  </si>
  <si>
    <t>Oki Pratama</t>
  </si>
  <si>
    <t/>
  </si>
  <si>
    <t>Bella Nugroho</t>
  </si>
  <si>
    <t>088274846773</t>
  </si>
  <si>
    <t>Gita Rahayu</t>
  </si>
  <si>
    <t>088704622681</t>
  </si>
  <si>
    <t>Gita Gunawan</t>
  </si>
  <si>
    <t>Gita Hidayat</t>
  </si>
  <si>
    <t>088363854678</t>
  </si>
  <si>
    <t>Bella Halim</t>
  </si>
  <si>
    <t>Putri Halim</t>
  </si>
  <si>
    <t>088415747338</t>
  </si>
  <si>
    <t>Erik Santoso</t>
  </si>
  <si>
    <t>Hadi Saputra</t>
  </si>
  <si>
    <t>088671756551</t>
  </si>
  <si>
    <t>Bella Gunawan</t>
  </si>
  <si>
    <t>Made Hidayat</t>
  </si>
  <si>
    <t>088743027169</t>
  </si>
  <si>
    <t>Dian Nasution</t>
  </si>
  <si>
    <t>Made Santoso</t>
  </si>
  <si>
    <t>Dian Wijaya</t>
  </si>
  <si>
    <t>Lina Pratama</t>
  </si>
  <si>
    <t>088167243426</t>
  </si>
  <si>
    <t>088608106200</t>
  </si>
  <si>
    <t>088997376311</t>
  </si>
  <si>
    <t>Citra Rahayu</t>
  </si>
  <si>
    <t>088423567782</t>
  </si>
  <si>
    <t>088047350476</t>
  </si>
  <si>
    <t>Rian Nasution</t>
  </si>
  <si>
    <t>088097499309</t>
  </si>
  <si>
    <t>088116868548</t>
  </si>
  <si>
    <t>Eka Hidayat</t>
  </si>
  <si>
    <t>Oki Halim</t>
  </si>
  <si>
    <t>088684577600</t>
  </si>
  <si>
    <t>Eka Siregar</t>
  </si>
  <si>
    <t>088449972787</t>
  </si>
  <si>
    <t>Zaki Gunawan</t>
  </si>
  <si>
    <t>088230982150</t>
  </si>
  <si>
    <t>Chandra Kusuma</t>
  </si>
  <si>
    <t>088527354549</t>
  </si>
  <si>
    <t>Ahmad Santoso</t>
  </si>
  <si>
    <t>Vina Setiawan</t>
  </si>
  <si>
    <t>088968549822</t>
  </si>
  <si>
    <t>Made Pratama</t>
  </si>
  <si>
    <t>088247395003</t>
  </si>
  <si>
    <t>Erik Rahayu</t>
  </si>
  <si>
    <t>Andi Santoso</t>
  </si>
  <si>
    <t>088431115083</t>
  </si>
  <si>
    <t>088969278687</t>
  </si>
  <si>
    <t>Sari Nugroho</t>
  </si>
  <si>
    <t>088059551842</t>
  </si>
  <si>
    <t>Budi Santoso</t>
  </si>
  <si>
    <t>088244720999</t>
  </si>
  <si>
    <t>Eka Pratama</t>
  </si>
  <si>
    <t>088104967066</t>
  </si>
  <si>
    <t>Eka Halim</t>
  </si>
  <si>
    <t>088847657041</t>
  </si>
  <si>
    <t>Yani Wijaya</t>
  </si>
  <si>
    <t>088135247871</t>
  </si>
  <si>
    <t>088182422412</t>
  </si>
  <si>
    <t>088304891382</t>
  </si>
  <si>
    <t>Kiki Wijaya</t>
  </si>
  <si>
    <t>088189616423</t>
  </si>
  <si>
    <t>Oki Nugroho</t>
  </si>
  <si>
    <t>088669411800</t>
  </si>
  <si>
    <t>Dian Setiawan</t>
  </si>
  <si>
    <t>088365564729</t>
  </si>
  <si>
    <t>Chandra Marpaung</t>
  </si>
  <si>
    <t>Dewi Santoso</t>
  </si>
  <si>
    <t>Bella Lestari</t>
  </si>
  <si>
    <t>088912868578</t>
  </si>
  <si>
    <t>Fitri Lestari</t>
  </si>
  <si>
    <t>088910336829</t>
  </si>
  <si>
    <t>088014363495</t>
  </si>
  <si>
    <t>Made Wijaya</t>
  </si>
  <si>
    <t>Dewi Kusuma</t>
  </si>
  <si>
    <t>088596401658</t>
  </si>
  <si>
    <t>Erik Marpaung</t>
  </si>
  <si>
    <t>088342160733</t>
  </si>
  <si>
    <t>Dian Pratama</t>
  </si>
  <si>
    <t>088787112166</t>
  </si>
  <si>
    <t>088321840118</t>
  </si>
  <si>
    <t>Nita Wijaya</t>
  </si>
  <si>
    <t>088752500743</t>
  </si>
  <si>
    <t>Fajar Siregar</t>
  </si>
  <si>
    <t>088215031780</t>
  </si>
  <si>
    <t>Ahmad Wijaya</t>
  </si>
  <si>
    <t>088433971895</t>
  </si>
  <si>
    <t>Yani Lestari</t>
  </si>
  <si>
    <t>088239724042</t>
  </si>
  <si>
    <t>088256862110</t>
  </si>
  <si>
    <t>Ahmad Nasution</t>
  </si>
  <si>
    <t>Indah Kusuma</t>
  </si>
  <si>
    <t>088459779452</t>
  </si>
  <si>
    <t>Indah Pratama</t>
  </si>
  <si>
    <t>088135775949</t>
  </si>
  <si>
    <t>088455623869</t>
  </si>
  <si>
    <t>Dian Kusuma</t>
  </si>
  <si>
    <t>088898471391</t>
  </si>
  <si>
    <t>Chandra Hidayat</t>
  </si>
  <si>
    <t>088477324491</t>
  </si>
  <si>
    <t>Putri Siregar</t>
  </si>
  <si>
    <t>088560531340</t>
  </si>
  <si>
    <t>088405396727</t>
  </si>
  <si>
    <t>088280634615</t>
  </si>
  <si>
    <t>Tono Hidayat</t>
  </si>
  <si>
    <t>088121655852</t>
  </si>
  <si>
    <t>Citra Saputra</t>
  </si>
  <si>
    <t>Erik Pratama</t>
  </si>
  <si>
    <t>088739473121</t>
  </si>
  <si>
    <t>Wawan Nasution</t>
  </si>
  <si>
    <t>088998094024</t>
  </si>
  <si>
    <t>Dewi Lestari</t>
  </si>
  <si>
    <t>088979955271</t>
  </si>
  <si>
    <t>Chandra Wijaya</t>
  </si>
  <si>
    <t>088448571422</t>
  </si>
  <si>
    <t>088266821719</t>
  </si>
  <si>
    <t>Bella Saputra</t>
  </si>
  <si>
    <t>088881278686</t>
  </si>
  <si>
    <t>Citra Nasution</t>
  </si>
  <si>
    <t>088866882634</t>
  </si>
  <si>
    <t>Putri Wijaya</t>
  </si>
  <si>
    <t>Lina Hidayat</t>
  </si>
  <si>
    <t>Sari Santoso</t>
  </si>
  <si>
    <t>Made Marpaung</t>
  </si>
  <si>
    <t>088647598762</t>
  </si>
  <si>
    <t>088447232290</t>
  </si>
  <si>
    <t>088125625313</t>
  </si>
  <si>
    <t>Joko Lestari</t>
  </si>
  <si>
    <t>088123361328</t>
  </si>
  <si>
    <t>088945680447</t>
  </si>
  <si>
    <t>Yani Nugroho</t>
  </si>
  <si>
    <t>088260432609</t>
  </si>
  <si>
    <t>Tono Pratama</t>
  </si>
  <si>
    <t>088448695946</t>
  </si>
  <si>
    <t>Yani Nasution</t>
  </si>
  <si>
    <t>Joko Siregar</t>
  </si>
  <si>
    <t>088656272980</t>
  </si>
  <si>
    <t>088490580778</t>
  </si>
  <si>
    <t>088833901981</t>
  </si>
  <si>
    <t>Dewi Hidayat</t>
  </si>
  <si>
    <t>088079032020</t>
  </si>
  <si>
    <t>088168942104</t>
  </si>
  <si>
    <t>088538144744</t>
  </si>
  <si>
    <t>Nita Pratama</t>
  </si>
  <si>
    <t>088604945198</t>
  </si>
  <si>
    <t>088649878208</t>
  </si>
  <si>
    <t>088074510663</t>
  </si>
  <si>
    <t>Chandra Setiawan</t>
  </si>
  <si>
    <t>088812236231</t>
  </si>
  <si>
    <t>Tono Halim</t>
  </si>
  <si>
    <t>Indah Hidayat</t>
  </si>
  <si>
    <t>Sari Siregar</t>
  </si>
  <si>
    <t>088694596488</t>
  </si>
  <si>
    <t>Putri Simatupang</t>
  </si>
  <si>
    <t>088849939089</t>
  </si>
  <si>
    <t>Lina Halim</t>
  </si>
  <si>
    <t>088412528669</t>
  </si>
  <si>
    <t>Umi Gunawan</t>
  </si>
  <si>
    <t>Oki Marpaung</t>
  </si>
  <si>
    <t>088911110961</t>
  </si>
  <si>
    <t>Chandra Rahayu</t>
  </si>
  <si>
    <t>088998279501</t>
  </si>
  <si>
    <t>Indah Halim</t>
  </si>
  <si>
    <t>088940128974</t>
  </si>
  <si>
    <t>088266093796</t>
  </si>
  <si>
    <t>Rian Rahayu</t>
  </si>
  <si>
    <t>088183285691</t>
  </si>
  <si>
    <t>Yani Setiawan</t>
  </si>
  <si>
    <t>088303662543</t>
  </si>
  <si>
    <t>088652156818</t>
  </si>
  <si>
    <t>Erik Nugroho</t>
  </si>
  <si>
    <t>Rian Setiawan</t>
  </si>
  <si>
    <t>088223728179</t>
  </si>
  <si>
    <t>Putri Lestari</t>
  </si>
  <si>
    <t>Gita Wijaya</t>
  </si>
  <si>
    <t>088614150937</t>
  </si>
  <si>
    <t>088742761707</t>
  </si>
  <si>
    <t>Kiki Santoso</t>
  </si>
  <si>
    <t>088131220681</t>
  </si>
  <si>
    <t>088334843443</t>
  </si>
  <si>
    <t>Andi Setiawan</t>
  </si>
  <si>
    <t>088626765861</t>
  </si>
  <si>
    <t>Chandra Simatupang</t>
  </si>
  <si>
    <t>088837744197</t>
  </si>
  <si>
    <t>Nita Lestari</t>
  </si>
  <si>
    <t>088908740640</t>
  </si>
  <si>
    <t>088664160529</t>
  </si>
  <si>
    <t>Putri Nugroho</t>
  </si>
  <si>
    <t>088305872105</t>
  </si>
  <si>
    <t>Rian Marpaung</t>
  </si>
  <si>
    <t>088394353537</t>
  </si>
  <si>
    <t>Eka Wijaya</t>
  </si>
  <si>
    <t>Fajar Lestari</t>
  </si>
  <si>
    <t>088659994973</t>
  </si>
  <si>
    <t>Vina Kusuma</t>
  </si>
  <si>
    <t>088670806129</t>
  </si>
  <si>
    <t>088164752553</t>
  </si>
  <si>
    <t>088864168622</t>
  </si>
  <si>
    <t>088750479303</t>
  </si>
  <si>
    <t>088745644948</t>
  </si>
  <si>
    <t>Citra Hidayat</t>
  </si>
  <si>
    <t>Kiki Saputra</t>
  </si>
  <si>
    <t>Fajar Nugroho</t>
  </si>
  <si>
    <t>088398262244</t>
  </si>
  <si>
    <t>Tono Rahayu</t>
  </si>
  <si>
    <t>088738721489</t>
  </si>
  <si>
    <t>088853800329</t>
  </si>
  <si>
    <t>Zaki Saputra</t>
  </si>
  <si>
    <t>088994999393</t>
  </si>
  <si>
    <t>Erik Kusuma</t>
  </si>
  <si>
    <t>088879232648</t>
  </si>
  <si>
    <t>Kiki Simatupang</t>
  </si>
  <si>
    <t>088218501631</t>
  </si>
  <si>
    <t>088347128715</t>
  </si>
  <si>
    <t>Umi Lestari</t>
  </si>
  <si>
    <t>088483564208</t>
  </si>
  <si>
    <t>Joko Marpaung</t>
  </si>
  <si>
    <t>088501657905</t>
  </si>
  <si>
    <t>Putri Rahayu</t>
  </si>
  <si>
    <t>088505057397</t>
  </si>
  <si>
    <t>088518888806</t>
  </si>
  <si>
    <t>088905150267</t>
  </si>
  <si>
    <t>088183067198</t>
  </si>
  <si>
    <t>088925158377</t>
  </si>
  <si>
    <t>088074821759</t>
  </si>
  <si>
    <t>088730985034</t>
  </si>
  <si>
    <t>088723590960</t>
  </si>
  <si>
    <t>088836403761</t>
  </si>
  <si>
    <t>088484910256</t>
  </si>
  <si>
    <t>088272386562</t>
  </si>
  <si>
    <t>Dewi Pratama</t>
  </si>
  <si>
    <t>088118237931</t>
  </si>
  <si>
    <t>Ahmad Kusuma</t>
  </si>
  <si>
    <t>088115931952</t>
  </si>
  <si>
    <t>088475541108</t>
  </si>
  <si>
    <t>088802144270</t>
  </si>
  <si>
    <t>Tono Marpaung</t>
  </si>
  <si>
    <t>Eka Nugroho</t>
  </si>
  <si>
    <t>088649837354</t>
  </si>
  <si>
    <t>088477433268</t>
  </si>
  <si>
    <t>Eka Santoso</t>
  </si>
  <si>
    <t>088438156149</t>
  </si>
  <si>
    <t>088073033793</t>
  </si>
  <si>
    <t>Fajar Halim</t>
  </si>
  <si>
    <t>088917785079</t>
  </si>
  <si>
    <t>088750036915</t>
  </si>
  <si>
    <t>088937452991</t>
  </si>
  <si>
    <t>Gita Lestari</t>
  </si>
  <si>
    <t>088436110371</t>
  </si>
  <si>
    <t>Joko Pratama</t>
  </si>
  <si>
    <t>088084271094</t>
  </si>
  <si>
    <t>Putri Kusuma</t>
  </si>
  <si>
    <t>088620555438</t>
  </si>
  <si>
    <t>Rian Lestari</t>
  </si>
  <si>
    <t>Umi Nasution</t>
  </si>
  <si>
    <t>088738997563</t>
  </si>
  <si>
    <t>Wawan Gunawan</t>
  </si>
  <si>
    <t>Budi Nugroho</t>
  </si>
  <si>
    <t>Gita Nasution</t>
  </si>
  <si>
    <t>088591166553</t>
  </si>
  <si>
    <t>088107406500</t>
  </si>
  <si>
    <t>Sari Nasution</t>
  </si>
  <si>
    <t>088695620175</t>
  </si>
  <si>
    <t>Chandra Lestari</t>
  </si>
  <si>
    <t>088109226859</t>
  </si>
  <si>
    <t>088250029218</t>
  </si>
  <si>
    <t>Fitri Nasution</t>
  </si>
  <si>
    <t>088408621182</t>
  </si>
  <si>
    <t>Indah Rahayu</t>
  </si>
  <si>
    <t>088896383465</t>
  </si>
  <si>
    <t>088858333945</t>
  </si>
  <si>
    <t>088528092428</t>
  </si>
  <si>
    <t>Bella Kusuma</t>
  </si>
  <si>
    <t>088802714872</t>
  </si>
  <si>
    <t>088610023117</t>
  </si>
  <si>
    <t>088407778097</t>
  </si>
  <si>
    <t>088732788147</t>
  </si>
  <si>
    <t>088221699586</t>
  </si>
  <si>
    <t>088725135521</t>
  </si>
  <si>
    <t>088511856724</t>
  </si>
  <si>
    <t>Tono Gunawan</t>
  </si>
  <si>
    <t>088424375402</t>
  </si>
  <si>
    <t>Yani Hidayat</t>
  </si>
  <si>
    <t>088172482513</t>
  </si>
  <si>
    <t>Umi Kusuma</t>
  </si>
  <si>
    <t>088900109439</t>
  </si>
  <si>
    <t>Yani Siregar</t>
  </si>
  <si>
    <t>Budi Gunawan</t>
  </si>
  <si>
    <t>Andi Gunawan</t>
  </si>
  <si>
    <t>Zaki Setiawan</t>
  </si>
  <si>
    <t>088880957015</t>
  </si>
  <si>
    <t>088101194707</t>
  </si>
  <si>
    <t>088627796304</t>
  </si>
  <si>
    <t>088472812356</t>
  </si>
  <si>
    <t>Erik Setiawan</t>
  </si>
  <si>
    <t>088328348315</t>
  </si>
  <si>
    <t>Umi Setiawan</t>
  </si>
  <si>
    <t>088332288985</t>
  </si>
  <si>
    <t>Citra Halim</t>
  </si>
  <si>
    <t>Budi Hidayat</t>
  </si>
  <si>
    <t>088961844626</t>
  </si>
  <si>
    <t>Umi Nugroho</t>
  </si>
  <si>
    <t>088874034505</t>
  </si>
  <si>
    <t>088266110627</t>
  </si>
  <si>
    <t>088812735857</t>
  </si>
  <si>
    <t>Made Setiawan</t>
  </si>
  <si>
    <t>088932133480</t>
  </si>
  <si>
    <t>088545009025</t>
  </si>
  <si>
    <t>Gita Kusuma</t>
  </si>
  <si>
    <t>088256621286</t>
  </si>
  <si>
    <t>Dian Siregar</t>
  </si>
  <si>
    <t>088973471566</t>
  </si>
  <si>
    <t>Hadi Santoso</t>
  </si>
  <si>
    <t>088009751971</t>
  </si>
  <si>
    <t>Joko Santoso</t>
  </si>
  <si>
    <t>088344149782</t>
  </si>
  <si>
    <t>Budi Kusuma</t>
  </si>
  <si>
    <t>088763928369</t>
  </si>
  <si>
    <t>088406409097</t>
  </si>
  <si>
    <t>Lina Nugroho</t>
  </si>
  <si>
    <t>088472779010</t>
  </si>
  <si>
    <t>Vina Marpaung</t>
  </si>
  <si>
    <t>088221418880</t>
  </si>
  <si>
    <t>088604409079</t>
  </si>
  <si>
    <t>088121965652</t>
  </si>
  <si>
    <t>088966734595</t>
  </si>
  <si>
    <t>Dewi Gunawan</t>
  </si>
  <si>
    <t>088080882351</t>
  </si>
  <si>
    <t>088981209957</t>
  </si>
  <si>
    <t>088591966395</t>
  </si>
  <si>
    <t>088853747411</t>
  </si>
  <si>
    <t>Nita Nugroho</t>
  </si>
  <si>
    <t>088614878245</t>
  </si>
  <si>
    <t>Andi Lestari</t>
  </si>
  <si>
    <t>088992107522</t>
  </si>
  <si>
    <t>Sari Kusuma</t>
  </si>
  <si>
    <t>088809961327</t>
  </si>
  <si>
    <t>088485646799</t>
  </si>
  <si>
    <t>Umi Saputra</t>
  </si>
  <si>
    <t>088673830284</t>
  </si>
  <si>
    <t>088947383473</t>
  </si>
  <si>
    <t>088290349446</t>
  </si>
  <si>
    <t>Umi Halim</t>
  </si>
  <si>
    <t>088735228705</t>
  </si>
  <si>
    <t>088993588916</t>
  </si>
  <si>
    <t>088358414384</t>
  </si>
  <si>
    <t>088595724461</t>
  </si>
  <si>
    <t>Dian Halim</t>
  </si>
  <si>
    <t>088261375060</t>
  </si>
  <si>
    <t>088261796405</t>
  </si>
  <si>
    <t>Dian Saputra</t>
  </si>
  <si>
    <t>088588043416</t>
  </si>
  <si>
    <t>Hadi Hidayat</t>
  </si>
  <si>
    <t>088095493059</t>
  </si>
  <si>
    <t>Joko Setiawan</t>
  </si>
  <si>
    <t>088895529638</t>
  </si>
  <si>
    <t>088656482366</t>
  </si>
  <si>
    <t>088723244079</t>
  </si>
  <si>
    <t>088766072832</t>
  </si>
  <si>
    <t>088836702410</t>
  </si>
  <si>
    <t>088674124151</t>
  </si>
  <si>
    <t>Rian Hidayat</t>
  </si>
  <si>
    <t>Ahmad Lestari</t>
  </si>
  <si>
    <t>Fajar Marpaung</t>
  </si>
  <si>
    <t>088947697357</t>
  </si>
  <si>
    <t>Indah Nasution</t>
  </si>
  <si>
    <t>088435884183</t>
  </si>
  <si>
    <t>Tono Wijaya</t>
  </si>
  <si>
    <t>088921249384</t>
  </si>
  <si>
    <t>Lina Saputra</t>
  </si>
  <si>
    <t>088340745171</t>
  </si>
  <si>
    <t>Umi Pratama</t>
  </si>
  <si>
    <t>088570279371</t>
  </si>
  <si>
    <t>088969308488</t>
  </si>
  <si>
    <t>Oki Nasution</t>
  </si>
  <si>
    <t>Dian Rahayu</t>
  </si>
  <si>
    <t>Sari Marpaung</t>
  </si>
  <si>
    <t>088204505331</t>
  </si>
  <si>
    <t>088030564139</t>
  </si>
  <si>
    <t>Oki Gunawan</t>
  </si>
  <si>
    <t>088022941318</t>
  </si>
  <si>
    <t>Joko Wijaya</t>
  </si>
  <si>
    <t>088695814671</t>
  </si>
  <si>
    <t>088908197400</t>
  </si>
  <si>
    <t>088450544471</t>
  </si>
  <si>
    <t>Andi Wijaya</t>
  </si>
  <si>
    <t>088477596555</t>
  </si>
  <si>
    <t>Indah Wijaya</t>
  </si>
  <si>
    <t>088839084700</t>
  </si>
  <si>
    <t>088128196482</t>
  </si>
  <si>
    <t>088373634669</t>
  </si>
  <si>
    <t>Chandra Siregar</t>
  </si>
  <si>
    <t>088265479356</t>
  </si>
  <si>
    <t>088947284639</t>
  </si>
  <si>
    <t>Budi Halim</t>
  </si>
  <si>
    <t>Zaki Siregar</t>
  </si>
  <si>
    <t>088113529096</t>
  </si>
  <si>
    <t>088228200557</t>
  </si>
  <si>
    <t>Fitri Setiawan</t>
  </si>
  <si>
    <t>088845783174</t>
  </si>
  <si>
    <t>Citra Wijaya</t>
  </si>
  <si>
    <t>088265676618</t>
  </si>
  <si>
    <t>088016400524</t>
  </si>
  <si>
    <t>Vina Rahayu</t>
  </si>
  <si>
    <t>088081866179</t>
  </si>
  <si>
    <t>Kiki Rahayu</t>
  </si>
  <si>
    <t>088188261702</t>
  </si>
  <si>
    <t>088258815371</t>
  </si>
  <si>
    <t>Eka Kusuma</t>
  </si>
  <si>
    <t>088799371240</t>
  </si>
  <si>
    <t>088959724665</t>
  </si>
  <si>
    <t>088755719285</t>
  </si>
  <si>
    <t>088016571208</t>
  </si>
  <si>
    <t>Chandra Nugroho</t>
  </si>
  <si>
    <t>088898645652</t>
  </si>
  <si>
    <t>Joko Halim</t>
  </si>
  <si>
    <t>088876963938</t>
  </si>
  <si>
    <t>088026153473</t>
  </si>
  <si>
    <t>Nita Saputra</t>
  </si>
  <si>
    <t>088340312772</t>
  </si>
  <si>
    <t>Kiki Nugroho</t>
  </si>
  <si>
    <t>Andi Siregar</t>
  </si>
  <si>
    <t>088417765612</t>
  </si>
  <si>
    <t>088727520885</t>
  </si>
  <si>
    <t>Rian Pratama</t>
  </si>
  <si>
    <t>Sari Wijaya</t>
  </si>
  <si>
    <t>088089899217</t>
  </si>
  <si>
    <t>088647468723</t>
  </si>
  <si>
    <t>088456532863</t>
  </si>
  <si>
    <t>088292766372</t>
  </si>
  <si>
    <t>088329092791</t>
  </si>
  <si>
    <t>Lina Santoso</t>
  </si>
  <si>
    <t>088342801387</t>
  </si>
  <si>
    <t>Yani Pratama</t>
  </si>
  <si>
    <t>088670431038</t>
  </si>
  <si>
    <t>088177318063</t>
  </si>
  <si>
    <t>Wawan Siregar</t>
  </si>
  <si>
    <t>Lina Simatupang</t>
  </si>
  <si>
    <t>Sari Hidayat</t>
  </si>
  <si>
    <t>Rian Nugroho</t>
  </si>
  <si>
    <t>088158331170</t>
  </si>
  <si>
    <t>Wawan Lestari</t>
  </si>
  <si>
    <t>088379772369</t>
  </si>
  <si>
    <t>088244717465</t>
  </si>
  <si>
    <t>088041454563</t>
  </si>
  <si>
    <t>Indah Lestari</t>
  </si>
  <si>
    <t>088348645183</t>
  </si>
  <si>
    <t>Vina Saputra</t>
  </si>
  <si>
    <t>088961367499</t>
  </si>
  <si>
    <t>Indah Setiawan</t>
  </si>
  <si>
    <t>Erik Saputra</t>
  </si>
  <si>
    <t>088786103579</t>
  </si>
  <si>
    <t>Fitri Rahayu</t>
  </si>
  <si>
    <t>Made Lestari</t>
  </si>
  <si>
    <t>088951802380</t>
  </si>
  <si>
    <t>088881435368</t>
  </si>
  <si>
    <t>088327021648</t>
  </si>
  <si>
    <t>Yani Simatupang</t>
  </si>
  <si>
    <t>088065063731</t>
  </si>
  <si>
    <t>088940970527</t>
  </si>
  <si>
    <t>Fitri Gunawan</t>
  </si>
  <si>
    <t>088653331537</t>
  </si>
  <si>
    <t>Kiki Gunawan</t>
  </si>
  <si>
    <t>088268705685</t>
  </si>
  <si>
    <t>Umi Hidayat</t>
  </si>
  <si>
    <t>088674338005</t>
  </si>
  <si>
    <t>088286342556</t>
  </si>
  <si>
    <t>Oki Hidayat</t>
  </si>
  <si>
    <t>088498282467</t>
  </si>
  <si>
    <t>088920530214</t>
  </si>
  <si>
    <t>088075399893</t>
  </si>
  <si>
    <t>Vina Nugroho</t>
  </si>
  <si>
    <t>088472304618</t>
  </si>
  <si>
    <t>088937854777</t>
  </si>
  <si>
    <t>088679825071</t>
  </si>
  <si>
    <t>088546103399</t>
  </si>
  <si>
    <t>Wawan Marpaung</t>
  </si>
  <si>
    <t>088204618723</t>
  </si>
  <si>
    <t>088911244211</t>
  </si>
  <si>
    <t>088798687277</t>
  </si>
  <si>
    <t>Joko Hidayat</t>
  </si>
  <si>
    <t>088086403553</t>
  </si>
  <si>
    <t>088850821486</t>
  </si>
  <si>
    <t>088895392644</t>
  </si>
  <si>
    <t>088849877694</t>
  </si>
  <si>
    <t>Tono Nugroho</t>
  </si>
  <si>
    <t>088759980562</t>
  </si>
  <si>
    <t>088740633569</t>
  </si>
  <si>
    <t>088107835674</t>
  </si>
  <si>
    <t>Sari Halim</t>
  </si>
  <si>
    <t>088691251778</t>
  </si>
  <si>
    <t>Fitri Pratama</t>
  </si>
  <si>
    <t>088371576605</t>
  </si>
  <si>
    <t>Joko Saputra</t>
  </si>
  <si>
    <t>Oki Lestari</t>
  </si>
  <si>
    <t>088292518812</t>
  </si>
  <si>
    <t>Andi Simatupang</t>
  </si>
  <si>
    <t>088589944171</t>
  </si>
  <si>
    <t>088375374584</t>
  </si>
  <si>
    <t>Andi Saputra</t>
  </si>
  <si>
    <t>Yani Rahayu</t>
  </si>
  <si>
    <t>088447417595</t>
  </si>
  <si>
    <t>Putri Marpaung</t>
  </si>
  <si>
    <t>088131290148</t>
  </si>
  <si>
    <t>088436262044</t>
  </si>
  <si>
    <t>088907851586</t>
  </si>
  <si>
    <t>088206345911</t>
  </si>
  <si>
    <t>Budi Wijaya</t>
  </si>
  <si>
    <t>088033041662</t>
  </si>
  <si>
    <t>088536902611</t>
  </si>
  <si>
    <t>Lina Nasution</t>
  </si>
  <si>
    <t>088320101702</t>
  </si>
  <si>
    <t>088454414967</t>
  </si>
  <si>
    <t>088218188355</t>
  </si>
  <si>
    <t>088267288574</t>
  </si>
  <si>
    <t>088334333395</t>
  </si>
  <si>
    <t>088714627301</t>
  </si>
  <si>
    <t>088091660100</t>
  </si>
  <si>
    <t>088143639102</t>
  </si>
  <si>
    <t>Indah Siregar</t>
  </si>
  <si>
    <t>088723184322</t>
  </si>
  <si>
    <t>Kiki Nasution</t>
  </si>
  <si>
    <t>088018451462</t>
  </si>
  <si>
    <t>Andi Pratama</t>
  </si>
  <si>
    <t>088149587020</t>
  </si>
  <si>
    <t>Tono Santoso</t>
  </si>
  <si>
    <t>088255794155</t>
  </si>
  <si>
    <t>088567766575</t>
  </si>
  <si>
    <t>088586578091</t>
  </si>
  <si>
    <t>Made Kusuma</t>
  </si>
  <si>
    <t>088880199488</t>
  </si>
  <si>
    <t>088095214562</t>
  </si>
  <si>
    <t>Vina Wijaya</t>
  </si>
  <si>
    <t>Lina Rahayu</t>
  </si>
  <si>
    <t>088075366614</t>
  </si>
  <si>
    <t>088042177625</t>
  </si>
  <si>
    <t>088268602592</t>
  </si>
  <si>
    <t>088365203758</t>
  </si>
  <si>
    <t>088838638406</t>
  </si>
  <si>
    <t>088961943114</t>
  </si>
  <si>
    <t>088675661844</t>
  </si>
  <si>
    <t>088330604633</t>
  </si>
  <si>
    <t>088936763201</t>
  </si>
  <si>
    <t>088456690782</t>
  </si>
  <si>
    <t>088611952436</t>
  </si>
  <si>
    <t>Kiki Marpaung</t>
  </si>
  <si>
    <t>088841616928</t>
  </si>
  <si>
    <t>088950209700</t>
  </si>
  <si>
    <t>Nita Nasution</t>
  </si>
  <si>
    <t>088108839822</t>
  </si>
  <si>
    <t>Nita Halim</t>
  </si>
  <si>
    <t>088623445655</t>
  </si>
  <si>
    <t>088940821545</t>
  </si>
  <si>
    <t>Citra Gunawan</t>
  </si>
  <si>
    <t>088520585277</t>
  </si>
  <si>
    <t>088680876038</t>
  </si>
  <si>
    <t>Ahmad Nugroho</t>
  </si>
  <si>
    <t>088844344812</t>
  </si>
  <si>
    <t>088152910867</t>
  </si>
  <si>
    <t>088577017157</t>
  </si>
  <si>
    <t>088993160875</t>
  </si>
  <si>
    <t>088477686342</t>
  </si>
  <si>
    <t>088493759738</t>
  </si>
  <si>
    <t>Column Labels</t>
  </si>
  <si>
    <t>(blank)</t>
  </si>
  <si>
    <t>Grand Total</t>
  </si>
  <si>
    <t>Row Labels</t>
  </si>
  <si>
    <t xml:space="preserve">Sum of Total Harga </t>
  </si>
  <si>
    <t>Nama Bulan Order</t>
  </si>
  <si>
    <t>Januari</t>
  </si>
  <si>
    <t>Mei</t>
  </si>
  <si>
    <t>Juni</t>
  </si>
  <si>
    <t>Agustus</t>
  </si>
  <si>
    <t>November</t>
  </si>
  <si>
    <t>Desember</t>
  </si>
  <si>
    <t>Februari</t>
  </si>
  <si>
    <t>April</t>
  </si>
  <si>
    <t>Juli</t>
  </si>
  <si>
    <t>Oktober</t>
  </si>
  <si>
    <t>September</t>
  </si>
  <si>
    <t>Maret</t>
  </si>
  <si>
    <t xml:space="preserve">   - Breakdown Status order per Metode Bayara</t>
  </si>
  <si>
    <t>(All)</t>
  </si>
  <si>
    <t>Sum of Qty</t>
  </si>
  <si>
    <t>Produk apa yang paling laku bulan tertentu?</t>
  </si>
  <si>
    <t>Mouse Wireleess</t>
  </si>
  <si>
    <t>Count of Status</t>
  </si>
  <si>
    <t>Kota mana yang order-nya paling banyak dibatalkan/retur?</t>
  </si>
  <si>
    <t>Kirimkan data customer di kota X yang order-nya Selesai, untuk campaign</t>
  </si>
  <si>
    <t>Total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</si>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</sst>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4" formatCode="[$-421]dd\ mmmm\ yyyy;@"/>
    <numFmt numFmtId="165" formatCode="&quot;Rp&quot;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F5597"/>
      <name val="Arial"/>
    </font>
    <font>
      <sz val="11"/>
      <color rgb="FF1F1F1F"/>
      <name val="Arial"/>
    </font>
    <font>
      <b/>
      <sz val="12"/>
      <color rgb="FF1F1F1F"/>
      <name val="Arial"/>
    </font>
    <font>
      <b/>
      <sz val="11"/>
      <color rgb="FF1F1F1F"/>
      <name val="Arial"/>
    </font>
    <font>
      <sz val="11"/>
      <color rgb="FF9C0006"/>
      <name val="Calibri"/>
      <family val="2"/>
      <charset val="1"/>
      <scheme val="minor"/>
    </font>
    <font>
      <b/>
      <sz val="11"/>
      <color rgb="FFFFFFFF"/>
      <name val="Arial"/>
      <family val="2"/>
    </font>
    <font>
      <sz val="11"/>
      <color rgb="FF1F1F1F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C7CE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3" borderId="0" applyNumberFormat="0" applyBorder="0" applyAlignment="0" applyProtection="0"/>
  </cellStyleXfs>
  <cellXfs count="33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4" fontId="3" fillId="0" borderId="0" xfId="0" applyNumberFormat="1" applyFont="1"/>
    <xf numFmtId="44" fontId="2" fillId="2" borderId="0" xfId="0" applyNumberFormat="1" applyFont="1" applyFill="1" applyAlignment="1">
      <alignment horizontal="center"/>
    </xf>
    <xf numFmtId="44" fontId="3" fillId="0" borderId="0" xfId="0" applyNumberFormat="1" applyFont="1"/>
    <xf numFmtId="44" fontId="0" fillId="0" borderId="0" xfId="0" applyNumberFormat="1"/>
    <xf numFmtId="14" fontId="0" fillId="0" borderId="0" xfId="0" applyNumberFormat="1"/>
    <xf numFmtId="44" fontId="9" fillId="2" borderId="0" xfId="0" applyNumberFormat="1" applyFont="1" applyFill="1" applyAlignment="1">
      <alignment horizontal="center"/>
    </xf>
    <xf numFmtId="0" fontId="10" fillId="0" borderId="0" xfId="0" applyFont="1" applyAlignment="1">
      <alignment vertical="top"/>
    </xf>
    <xf numFmtId="0" fontId="11" fillId="4" borderId="0" xfId="0" applyFont="1" applyFill="1"/>
    <xf numFmtId="0" fontId="12" fillId="4" borderId="0" xfId="0" applyFont="1" applyFill="1"/>
    <xf numFmtId="0" fontId="13" fillId="0" borderId="0" xfId="0" applyFont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164" fontId="1" fillId="0" borderId="0" xfId="1" applyNumberFormat="1" applyFont="1" applyFill="1"/>
    <xf numFmtId="164" fontId="14" fillId="0" borderId="0" xfId="0" applyNumberFormat="1" applyFont="1"/>
    <xf numFmtId="164" fontId="0" fillId="0" borderId="0" xfId="0" applyNumberFormat="1"/>
    <xf numFmtId="164" fontId="12" fillId="4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44" fontId="0" fillId="0" borderId="0" xfId="0" pivotButton="1" applyNumberFormat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165" fontId="0" fillId="0" borderId="0" xfId="0" applyNumberFormat="1"/>
    <xf numFmtId="1" fontId="0" fillId="0" borderId="0" xfId="0" applyNumberFormat="1"/>
    <xf numFmtId="0" fontId="0" fillId="0" borderId="0" xfId="0" applyNumberFormat="1"/>
    <xf numFmtId="44" fontId="14" fillId="0" borderId="0" xfId="0" applyNumberFormat="1" applyFont="1"/>
    <xf numFmtId="0" fontId="3" fillId="0" borderId="0" xfId="0" applyFont="1" applyFill="1"/>
  </cellXfs>
  <cellStyles count="2">
    <cellStyle name="Bad" xfId="1" builtinId="27"/>
    <cellStyle name="Normal" xfId="0" builtinId="0"/>
  </cellStyles>
  <dxfs count="76">
    <dxf>
      <numFmt numFmtId="1" formatCode="0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165" formatCode="&quot;Rp&quot;#,##0.00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0" formatCode="General"/>
    </dxf>
    <dxf>
      <numFmt numFmtId="0" formatCode="General"/>
    </dxf>
    <dxf>
      <numFmt numFmtId="1" formatCode="0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165" formatCode="&quot;Rp&quot;#,##0.00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0" formatCode="General"/>
    </dxf>
    <dxf>
      <numFmt numFmtId="0" formatCode="General"/>
    </dxf>
    <dxf>
      <numFmt numFmtId="1" formatCode="0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165" formatCode="&quot;Rp&quot;#,##0.00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0" formatCode="General"/>
    </dxf>
    <dxf>
      <numFmt numFmtId="0" formatCode="General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1" formatCode="0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0" formatCode="General"/>
    </dxf>
    <dxf>
      <numFmt numFmtId="0" formatCode="General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165" formatCode="&quot;Rp&quot;#,##0.00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[Latihan_Excel_Data_Analyst.xlsx]Grafik!PivotTable1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Grafik!$A$4:$A$9</c:f>
              <c:strCache>
                <c:ptCount val="5"/>
                <c:pt idx="0">
                  <c:v>Elektronik</c:v>
                </c:pt>
                <c:pt idx="1">
                  <c:v>Fashion</c:v>
                </c:pt>
                <c:pt idx="2">
                  <c:v>Kecantikan</c:v>
                </c:pt>
                <c:pt idx="3">
                  <c:v>Makanan</c:v>
                </c:pt>
                <c:pt idx="4">
                  <c:v>Rumah Tangga</c:v>
                </c:pt>
              </c:strCache>
            </c:strRef>
          </c:cat>
          <c:val>
            <c:numRef>
              <c:f>Grafik!$B$4:$B$9</c:f>
              <c:numCache>
                <c:formatCode>_("Rp"* #,##0.00_);_("Rp"* \(#,##0.00\);_("Rp"* "-"??_);_(@_)</c:formatCode>
                <c:ptCount val="5"/>
                <c:pt idx="0">
                  <c:v>84805000</c:v>
                </c:pt>
                <c:pt idx="1">
                  <c:v>53298000</c:v>
                </c:pt>
                <c:pt idx="2">
                  <c:v>56229000</c:v>
                </c:pt>
                <c:pt idx="3">
                  <c:v>60421000</c:v>
                </c:pt>
                <c:pt idx="4">
                  <c:v>55042000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8E-4034-A6CA-041D43FD0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4124096"/>
        <c:axId val="873142096"/>
      </c:barChart>
      <c:catAx>
        <c:axId val="974124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142096"/>
        <c:crosses val="autoZero"/>
        <c:auto val="1"/>
        <c:lblAlgn val="ctr"/>
        <c:lblOffset val="100"/>
        <c:noMultiLvlLbl val="0"/>
      </c:catAx>
      <c:valAx>
        <c:axId val="87314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p&quot;* #,##0.00_);_(&quot;Rp&quot;* \(#,##0.00\);_(&quot;Rp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12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Januari</c:v>
              </c:pt>
              <c:pt idx="1">
                <c:v>Februari</c:v>
              </c:pt>
              <c:pt idx="2">
                <c:v>Maret</c:v>
              </c:pt>
              <c:pt idx="3">
                <c:v>April</c:v>
              </c:pt>
              <c:pt idx="4">
                <c:v>Mei</c:v>
              </c:pt>
              <c:pt idx="5">
                <c:v>Juni</c:v>
              </c:pt>
              <c:pt idx="6">
                <c:v>Juli</c:v>
              </c:pt>
              <c:pt idx="7">
                <c:v>Agustus</c:v>
              </c:pt>
              <c:pt idx="8">
                <c:v>September</c:v>
              </c:pt>
              <c:pt idx="9">
                <c:v>Oktober</c:v>
              </c:pt>
              <c:pt idx="10">
                <c:v>November</c:v>
              </c:pt>
              <c:pt idx="11">
                <c:v>Desember</c:v>
              </c:pt>
              <c:pt idx="12">
                <c:v>(blank)</c:v>
              </c:pt>
            </c:strLit>
          </c:cat>
          <c:val>
            <c:numLit>
              <c:formatCode>General</c:formatCode>
              <c:ptCount val="13"/>
              <c:pt idx="0">
                <c:v>20337000</c:v>
              </c:pt>
              <c:pt idx="1">
                <c:v>22017000</c:v>
              </c:pt>
              <c:pt idx="2">
                <c:v>23285000</c:v>
              </c:pt>
              <c:pt idx="3">
                <c:v>21545000</c:v>
              </c:pt>
              <c:pt idx="4">
                <c:v>15008000</c:v>
              </c:pt>
              <c:pt idx="5">
                <c:v>29279000</c:v>
              </c:pt>
              <c:pt idx="6">
                <c:v>38027000</c:v>
              </c:pt>
              <c:pt idx="7">
                <c:v>31239000</c:v>
              </c:pt>
              <c:pt idx="8">
                <c:v>30649000</c:v>
              </c:pt>
              <c:pt idx="9">
                <c:v>27515000</c:v>
              </c:pt>
              <c:pt idx="10">
                <c:v>22785000</c:v>
              </c:pt>
              <c:pt idx="11">
                <c:v>21506000</c:v>
              </c:pt>
              <c:pt idx="12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27A-49DB-8A7F-92354C59A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4739680"/>
        <c:axId val="873092656"/>
      </c:lineChart>
      <c:catAx>
        <c:axId val="159473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092656"/>
        <c:crosses val="autoZero"/>
        <c:auto val="1"/>
        <c:lblAlgn val="ctr"/>
        <c:lblOffset val="100"/>
        <c:noMultiLvlLbl val="0"/>
      </c:catAx>
      <c:valAx>
        <c:axId val="87309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3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87-4CC2-9C23-3E215D49F7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87-4CC2-9C23-3E215D49F7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87-4CC2-9C23-3E215D49F7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287-4CC2-9C23-3E215D49F7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287-4CC2-9C23-3E215D49F734}"/>
              </c:ext>
            </c:extLst>
          </c:dPt>
          <c:cat>
            <c:strLit>
              <c:ptCount val="5"/>
              <c:pt idx="0">
                <c:v>COD</c:v>
              </c:pt>
              <c:pt idx="1">
                <c:v>E-Wallet</c:v>
              </c:pt>
              <c:pt idx="2">
                <c:v>Kartu Kredit</c:v>
              </c:pt>
              <c:pt idx="3">
                <c:v>QRIS</c:v>
              </c:pt>
              <c:pt idx="4">
                <c:v>Transfer Bank</c:v>
              </c:pt>
            </c:strLit>
          </c:cat>
          <c:val>
            <c:numLit>
              <c:formatCode>General</c:formatCode>
              <c:ptCount val="5"/>
              <c:pt idx="0">
                <c:v>49032000</c:v>
              </c:pt>
              <c:pt idx="1">
                <c:v>65263000</c:v>
              </c:pt>
              <c:pt idx="2">
                <c:v>52084000</c:v>
              </c:pt>
              <c:pt idx="3">
                <c:v>58463000</c:v>
              </c:pt>
              <c:pt idx="4">
                <c:v>78350000</c:v>
              </c:pt>
            </c:numLit>
          </c:val>
          <c:extLst>
            <c:ext xmlns:c16="http://schemas.microsoft.com/office/drawing/2014/chart" uri="{C3380CC4-5D6E-409C-BE32-E72D297353CC}">
              <c16:uniqueId val="{0000000A-1287-4CC2-9C23-3E215D49F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0</xdr:row>
      <xdr:rowOff>177800</xdr:rowOff>
    </xdr:from>
    <xdr:to>
      <xdr:col>5</xdr:col>
      <xdr:colOff>1079500</xdr:colOff>
      <xdr:row>14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23FE07-93A4-ED65-76FB-C57A7240BE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158750</xdr:colOff>
      <xdr:row>17</xdr:row>
      <xdr:rowOff>57150</xdr:rowOff>
    </xdr:from>
    <xdr:to>
      <xdr:col>5</xdr:col>
      <xdr:colOff>1250950</xdr:colOff>
      <xdr:row>32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942EDA-BB50-4C62-82A4-A03F46DF7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413821</xdr:colOff>
      <xdr:row>9</xdr:row>
      <xdr:rowOff>149831</xdr:rowOff>
    </xdr:from>
    <xdr:to>
      <xdr:col>14</xdr:col>
      <xdr:colOff>178372</xdr:colOff>
      <xdr:row>20</xdr:row>
      <xdr:rowOff>21405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C2C2C9-9BBD-4579-A199-0F38C0F1F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4.801864583336" createdVersion="8" refreshedVersion="8" minRefreshableVersion="3" recordCount="600" xr:uid="{85142578-370B-45C8-9723-5805FA7F10E1}">
  <cacheSource type="worksheet">
    <worksheetSource ref="A1:M601" sheet="Tabel Referensi"/>
  </cacheSource>
  <cacheFields count="13">
    <cacheField name="Order ID" numFmtId="0">
      <sharedItems containsSemiMixedTypes="0" containsString="0" containsNumber="1" containsInteger="1" minValue="10000" maxValue="10599"/>
    </cacheField>
    <cacheField name="Name(Proper)Without ID" numFmtId="0">
      <sharedItems/>
    </cacheField>
    <cacheField name="No HP New" numFmtId="0">
      <sharedItems/>
    </cacheField>
    <cacheField name="Kota(Proper)" numFmtId="0">
      <sharedItems count="10">
        <s v="Denpasar"/>
        <s v="Makassar"/>
        <s v="Malang"/>
        <s v="Bandung"/>
        <s v="Semarang"/>
        <s v="Jakarta"/>
        <s v="Yogyakarta"/>
        <s v="Medan"/>
        <s v="Palembang"/>
        <s v="Surabaya"/>
      </sharedItems>
    </cacheField>
    <cacheField name="Kategori" numFmtId="0">
      <sharedItems count="5">
        <s v="Kecantikan"/>
        <s v="Rumah Tangga"/>
        <s v="Makanan"/>
        <s v="Elektronik"/>
        <s v="Fashion"/>
      </sharedItems>
    </cacheField>
    <cacheField name="Produk" numFmtId="0">
      <sharedItems count="25">
        <s v="Serum Vitamin C"/>
        <s v="Rak Serbaguna"/>
        <s v="Keripik Singkong"/>
        <s v="Cokelat Batang"/>
        <s v="Kabel Data USB-C"/>
        <s v="Kaos Polos"/>
        <s v="Jaket Hoodie"/>
        <s v="Micellar Water"/>
        <s v="Mouse Wireless"/>
        <s v="Lampu LED"/>
        <s v="Celana Jeans"/>
        <s v="Kemeja Flanel"/>
        <s v="Tempat Sampah"/>
        <s v="Sunscreen SPF50"/>
        <s v="Teh Celup Box"/>
        <s v="Gantungan Baju"/>
        <s v="Kopi Sachet 1kg"/>
        <s v="Lip Cream"/>
        <s v="Speaker Mini"/>
        <s v="Powerbank 10000mAh"/>
        <s v="Madu Hutan 500ml"/>
        <s v="Masker Wajah"/>
        <s v="Sapu Lidi"/>
        <s v="Topi Baseball"/>
        <s v="Headphone Bluetooth"/>
      </sharedItems>
    </cacheField>
    <cacheField name="Qty" numFmtId="0">
      <sharedItems containsSemiMixedTypes="0" containsString="0" containsNumber="1" containsInteger="1" minValue="1" maxValue="10"/>
    </cacheField>
    <cacheField name="Harga Satuan" numFmtId="44">
      <sharedItems containsSemiMixedTypes="0" containsString="0" containsNumber="1" containsInteger="1" minValue="15000" maxValue="250000"/>
    </cacheField>
    <cacheField name="Total Harga " numFmtId="44">
      <sharedItems containsSemiMixedTypes="0" containsString="0" containsNumber="1" containsInteger="1" minValue="15000" maxValue="2500000"/>
    </cacheField>
    <cacheField name="Tanggal Order" numFmtId="164">
      <sharedItems containsSemiMixedTypes="0" containsNonDate="0" containsDate="1" containsString="0" minDate="2025-01-01T00:00:00" maxDate="2026-01-01T00:00:00"/>
    </cacheField>
    <cacheField name="Nama Bulan Order" numFmtId="14">
      <sharedItems/>
    </cacheField>
    <cacheField name="Metode Bayar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4.801864814814" createdVersion="8" refreshedVersion="8" minRefreshableVersion="3" recordCount="662" xr:uid="{FB269BC1-4124-47DB-B30D-20A63A1117F4}">
  <cacheSource type="worksheet">
    <worksheetSource ref="A1:M1048576" sheet="Tabel Referensi"/>
  </cacheSource>
  <cacheFields count="17">
    <cacheField name="Order ID" numFmtId="0">
      <sharedItems containsString="0" containsBlank="1" containsNumber="1" containsInteger="1" minValue="10000" maxValue="10599"/>
    </cacheField>
    <cacheField name="Name(Proper)Without ID" numFmtId="0">
      <sharedItems containsBlank="1"/>
    </cacheField>
    <cacheField name="No HP New" numFmtId="0">
      <sharedItems containsBlank="1"/>
    </cacheField>
    <cacheField name="Kota(Proper)" numFmtId="0">
      <sharedItems containsBlank="1" count="11">
        <s v="Denpasar"/>
        <s v="Makassar"/>
        <s v="Malang"/>
        <s v="Bandung"/>
        <s v="Semarang"/>
        <s v="Jakarta"/>
        <s v="Yogyakarta"/>
        <s v="Medan"/>
        <s v="Palembang"/>
        <s v="Surabaya"/>
        <m/>
      </sharedItems>
    </cacheField>
    <cacheField name="Kategori" numFmtId="0">
      <sharedItems containsBlank="1" count="6">
        <s v="Kecantikan"/>
        <s v="Rumah Tangga"/>
        <s v="Makanan"/>
        <s v="Elektronik"/>
        <s v="Fashion"/>
        <m/>
      </sharedItems>
    </cacheField>
    <cacheField name="Produk" numFmtId="0">
      <sharedItems containsBlank="1" count="26">
        <s v="Serum Vitamin C"/>
        <s v="Rak Serbaguna"/>
        <s v="Keripik Singkong"/>
        <s v="Cokelat Batang"/>
        <s v="Kabel Data USB-C"/>
        <s v="Kaos Polos"/>
        <s v="Jaket Hoodie"/>
        <s v="Micellar Water"/>
        <s v="Mouse Wireless"/>
        <s v="Lampu LED"/>
        <s v="Celana Jeans"/>
        <s v="Kemeja Flanel"/>
        <s v="Tempat Sampah"/>
        <s v="Sunscreen SPF50"/>
        <s v="Teh Celup Box"/>
        <s v="Gantungan Baju"/>
        <s v="Kopi Sachet 1kg"/>
        <s v="Lip Cream"/>
        <s v="Speaker Mini"/>
        <s v="Powerbank 10000mAh"/>
        <s v="Madu Hutan 500ml"/>
        <s v="Masker Wajah"/>
        <s v="Sapu Lidi"/>
        <s v="Topi Baseball"/>
        <s v="Headphone Bluetooth"/>
        <m/>
      </sharedItems>
    </cacheField>
    <cacheField name="Qty" numFmtId="0">
      <sharedItems containsString="0" containsBlank="1" containsNumber="1" containsInteger="1" minValue="1" maxValue="10" count="11">
        <n v="8"/>
        <n v="9"/>
        <n v="5"/>
        <n v="7"/>
        <n v="2"/>
        <n v="4"/>
        <n v="1"/>
        <n v="10"/>
        <n v="6"/>
        <n v="3"/>
        <m/>
      </sharedItems>
    </cacheField>
    <cacheField name="Harga Satuan" numFmtId="0">
      <sharedItems containsString="0" containsBlank="1" containsNumber="1" containsInteger="1" minValue="15000" maxValue="250000"/>
    </cacheField>
    <cacheField name="Total Harga " numFmtId="0">
      <sharedItems containsString="0" containsBlank="1" containsNumber="1" containsInteger="1" minValue="15000" maxValue="2500000"/>
    </cacheField>
    <cacheField name="Tanggal Order" numFmtId="164">
      <sharedItems containsNonDate="0" containsDate="1" containsString="0" containsBlank="1" minDate="2025-01-01T00:00:00" maxDate="2026-01-01T00:00:00"/>
    </cacheField>
    <cacheField name="Nama Bulan Order" numFmtId="0">
      <sharedItems containsBlank="1" count="13">
        <s v="Januari"/>
        <s v="Mei"/>
        <s v="Juni"/>
        <s v="Agustus"/>
        <s v="November"/>
        <s v="Desember"/>
        <s v="Februari"/>
        <s v="April"/>
        <s v="Juli"/>
        <s v="Oktober"/>
        <s v="September"/>
        <s v="Maret"/>
        <m/>
      </sharedItems>
    </cacheField>
    <cacheField name="Metode Bayar" numFmtId="0">
      <sharedItems containsBlank="1" count="6">
        <s v="QRIS"/>
        <s v="E-Wallet"/>
        <s v="Transfer Bank"/>
        <s v="COD"/>
        <s v="Kartu Kredit"/>
        <m/>
      </sharedItems>
    </cacheField>
    <cacheField name="Status" numFmtId="0">
      <sharedItems containsBlank="1" count="6">
        <s v="Selesai"/>
        <s v="Dikirim"/>
        <s v="Dibatalkan"/>
        <s v="Retur"/>
        <s v="Diproses"/>
        <m/>
      </sharedItems>
    </cacheField>
    <cacheField name="Bermasalah" numFmtId="0" formula="Qty*'Harga Satuan'" databaseField="0"/>
    <cacheField name="Total HArga" numFmtId="0" formula="Qty*'Harga Satuan'" databaseField="0"/>
    <cacheField name="y" numFmtId="0" formula="'Total Harga '/Qty" databaseField="0"/>
    <cacheField name="Field1" numFmtId="0" formula="Qty*'Harga Satuan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10375"/>
    <s v="Nita Marpaung"/>
    <s v="088562606029"/>
    <x v="0"/>
    <x v="0"/>
    <x v="0"/>
    <n v="8"/>
    <n v="35000"/>
    <n v="280000"/>
    <d v="2025-01-06T00:00:00"/>
    <s v="Januari"/>
    <s v="QRIS"/>
    <s v="Selesai"/>
  </r>
  <r>
    <n v="10342"/>
    <s v="Fajar Rahayu"/>
    <s v="088963919195"/>
    <x v="1"/>
    <x v="1"/>
    <x v="1"/>
    <n v="9"/>
    <n v="45000"/>
    <n v="405000"/>
    <d v="2025-05-28T00:00:00"/>
    <s v="Mei"/>
    <s v="E-Wallet"/>
    <s v="Selesai"/>
  </r>
  <r>
    <n v="10232"/>
    <s v="Dian Hidayat"/>
    <s v="088716947225"/>
    <x v="2"/>
    <x v="2"/>
    <x v="2"/>
    <n v="5"/>
    <n v="75000"/>
    <n v="375000"/>
    <d v="2025-06-16T00:00:00"/>
    <s v="Juni"/>
    <s v="QRIS"/>
    <s v="Dikirim"/>
  </r>
  <r>
    <n v="10144"/>
    <s v="Zaki Nugroho"/>
    <s v="08210202758"/>
    <x v="3"/>
    <x v="1"/>
    <x v="1"/>
    <n v="8"/>
    <n v="199000"/>
    <n v="1592000"/>
    <d v="2025-08-11T00:00:00"/>
    <s v="Agustus"/>
    <s v="Transfer Bank"/>
    <s v="Dibatalkan"/>
  </r>
  <r>
    <n v="10344"/>
    <s v="Putri Hidayat"/>
    <s v="088723246651"/>
    <x v="4"/>
    <x v="2"/>
    <x v="3"/>
    <n v="7"/>
    <n v="199000"/>
    <n v="1393000"/>
    <d v="2025-11-17T00:00:00"/>
    <s v="November"/>
    <s v="Transfer Bank"/>
    <s v="Retur"/>
  </r>
  <r>
    <n v="10503"/>
    <s v="Fitri Hidayat"/>
    <s v="08657224029"/>
    <x v="5"/>
    <x v="3"/>
    <x v="4"/>
    <n v="2"/>
    <n v="120000"/>
    <n v="240000"/>
    <d v="2025-11-17T00:00:00"/>
    <s v="November"/>
    <s v="Transfer Bank"/>
    <s v="Diproses"/>
  </r>
  <r>
    <n v="10367"/>
    <s v="Eka Saputra"/>
    <s v="088831472760"/>
    <x v="5"/>
    <x v="4"/>
    <x v="5"/>
    <n v="4"/>
    <n v="120000"/>
    <n v="480000"/>
    <d v="2025-11-29T00:00:00"/>
    <s v="November"/>
    <s v="COD"/>
    <s v="Diproses"/>
  </r>
  <r>
    <n v="10480"/>
    <s v="Joko Simatupang"/>
    <s v="088065019179"/>
    <x v="0"/>
    <x v="4"/>
    <x v="6"/>
    <n v="4"/>
    <n v="15000"/>
    <n v="60000"/>
    <d v="2025-12-03T00:00:00"/>
    <s v="Desember"/>
    <s v="Transfer Bank"/>
    <s v="Diproses"/>
  </r>
  <r>
    <n v="10177"/>
    <s v="Zaki Rahayu"/>
    <s v="08999173816"/>
    <x v="6"/>
    <x v="0"/>
    <x v="7"/>
    <n v="5"/>
    <n v="120000"/>
    <n v="600000"/>
    <d v="2025-02-03T00:00:00"/>
    <s v="Februari"/>
    <s v="Kartu Kredit"/>
    <s v="Selesai"/>
  </r>
  <r>
    <n v="10091"/>
    <s v="Rian Simatupang"/>
    <s v="088016245650"/>
    <x v="3"/>
    <x v="0"/>
    <x v="0"/>
    <n v="1"/>
    <n v="50000"/>
    <n v="50000"/>
    <d v="2025-11-09T00:00:00"/>
    <s v="November"/>
    <s v="QRIS"/>
    <s v="Dikirim"/>
  </r>
  <r>
    <n v="10008"/>
    <s v="Oki Pratama"/>
    <s v=""/>
    <x v="3"/>
    <x v="0"/>
    <x v="0"/>
    <n v="10"/>
    <n v="150000"/>
    <n v="1500000"/>
    <d v="2025-04-28T00:00:00"/>
    <s v="April"/>
    <s v="QRIS"/>
    <s v="Diproses"/>
  </r>
  <r>
    <n v="10043"/>
    <s v="Bella Nugroho"/>
    <s v="088274846773"/>
    <x v="4"/>
    <x v="3"/>
    <x v="8"/>
    <n v="7"/>
    <n v="25000"/>
    <n v="175000"/>
    <d v="2025-04-26T00:00:00"/>
    <s v="April"/>
    <s v="Transfer Bank"/>
    <s v="Dikirim"/>
  </r>
  <r>
    <n v="10598"/>
    <s v="Gita Rahayu"/>
    <s v="088704622681"/>
    <x v="5"/>
    <x v="1"/>
    <x v="9"/>
    <n v="7"/>
    <n v="35000"/>
    <n v="245000"/>
    <d v="2025-05-26T00:00:00"/>
    <s v="Mei"/>
    <s v="E-Wallet"/>
    <s v="Dikirim"/>
  </r>
  <r>
    <n v="10544"/>
    <s v="Gita Gunawan"/>
    <s v="088030102724"/>
    <x v="7"/>
    <x v="4"/>
    <x v="5"/>
    <n v="10"/>
    <n v="15000"/>
    <n v="150000"/>
    <d v="2025-04-27T00:00:00"/>
    <s v="April"/>
    <s v="Kartu Kredit"/>
    <s v="Retur"/>
  </r>
  <r>
    <n v="10111"/>
    <s v="Gita Hidayat"/>
    <s v="088363854678"/>
    <x v="3"/>
    <x v="0"/>
    <x v="0"/>
    <n v="4"/>
    <n v="45000"/>
    <n v="180000"/>
    <d v="2025-02-03T00:00:00"/>
    <s v="Februari"/>
    <s v="Kartu Kredit"/>
    <s v="Diproses"/>
  </r>
  <r>
    <n v="10051"/>
    <s v="Bella Halim"/>
    <s v="08236851604"/>
    <x v="0"/>
    <x v="4"/>
    <x v="10"/>
    <n v="8"/>
    <n v="50000"/>
    <n v="400000"/>
    <d v="2025-06-23T00:00:00"/>
    <s v="Juni"/>
    <s v="Transfer Bank"/>
    <s v="Dikirim"/>
  </r>
  <r>
    <n v="10097"/>
    <s v="Putri Halim"/>
    <s v="088415747338"/>
    <x v="4"/>
    <x v="3"/>
    <x v="8"/>
    <n v="9"/>
    <n v="99000"/>
    <n v="891000"/>
    <d v="2025-07-22T00:00:00"/>
    <s v="Juli"/>
    <s v="E-Wallet"/>
    <s v="Diproses"/>
  </r>
  <r>
    <n v="10569"/>
    <s v="Erik Santoso"/>
    <s v=""/>
    <x v="3"/>
    <x v="3"/>
    <x v="8"/>
    <n v="10"/>
    <n v="75000"/>
    <n v="750000"/>
    <d v="2025-08-03T00:00:00"/>
    <s v="Agustus"/>
    <s v="QRIS"/>
    <s v="Retur"/>
  </r>
  <r>
    <n v="10040"/>
    <s v="Hadi Saputra"/>
    <s v="088671756551"/>
    <x v="2"/>
    <x v="4"/>
    <x v="11"/>
    <n v="9"/>
    <n v="250000"/>
    <n v="2250000"/>
    <d v="2025-08-15T00:00:00"/>
    <s v="Agustus"/>
    <s v="E-Wallet"/>
    <s v="Diproses"/>
  </r>
  <r>
    <n v="10397"/>
    <s v="Bella Gunawan"/>
    <s v="088997179110"/>
    <x v="3"/>
    <x v="1"/>
    <x v="9"/>
    <n v="6"/>
    <n v="15000"/>
    <n v="90000"/>
    <d v="2025-06-20T00:00:00"/>
    <s v="Juni"/>
    <s v="QRIS"/>
    <s v="Diproses"/>
  </r>
  <r>
    <n v="10415"/>
    <s v="Made Hidayat"/>
    <s v="088743027169"/>
    <x v="3"/>
    <x v="1"/>
    <x v="12"/>
    <n v="3"/>
    <n v="199000"/>
    <n v="597000"/>
    <d v="2025-10-22T00:00:00"/>
    <s v="Oktober"/>
    <s v="E-Wallet"/>
    <s v="Retur"/>
  </r>
  <r>
    <n v="10172"/>
    <s v="Dian Nasution"/>
    <s v=""/>
    <x v="0"/>
    <x v="0"/>
    <x v="13"/>
    <n v="5"/>
    <n v="25000"/>
    <n v="125000"/>
    <d v="2025-05-26T00:00:00"/>
    <s v="Mei"/>
    <s v="Transfer Bank"/>
    <s v="Dikirim"/>
  </r>
  <r>
    <n v="10518"/>
    <s v="Made Santoso"/>
    <s v="088310094318"/>
    <x v="4"/>
    <x v="2"/>
    <x v="14"/>
    <n v="9"/>
    <n v="99000"/>
    <n v="891000"/>
    <d v="2025-02-25T00:00:00"/>
    <s v="Februari"/>
    <s v="Transfer Bank"/>
    <s v="Diproses"/>
  </r>
  <r>
    <n v="10231"/>
    <s v="Dian Wijaya"/>
    <s v="088455884506"/>
    <x v="5"/>
    <x v="4"/>
    <x v="5"/>
    <n v="4"/>
    <n v="50000"/>
    <n v="200000"/>
    <d v="2025-01-09T00:00:00"/>
    <s v="Januari"/>
    <s v="Transfer Bank"/>
    <s v="Dikirim"/>
  </r>
  <r>
    <n v="10124"/>
    <s v="Lina Pratama"/>
    <s v="088167243426"/>
    <x v="3"/>
    <x v="2"/>
    <x v="2"/>
    <n v="9"/>
    <n v="15000"/>
    <n v="135000"/>
    <d v="2025-08-25T00:00:00"/>
    <s v="Agustus"/>
    <s v="COD"/>
    <s v="Dikirim"/>
  </r>
  <r>
    <n v="10195"/>
    <s v="Rian Gunawan"/>
    <s v="088608106200"/>
    <x v="6"/>
    <x v="1"/>
    <x v="15"/>
    <n v="10"/>
    <n v="250000"/>
    <n v="2500000"/>
    <d v="2025-12-30T00:00:00"/>
    <s v="Desember"/>
    <s v="Kartu Kredit"/>
    <s v="Retur"/>
  </r>
  <r>
    <n v="10095"/>
    <s v="Rian Siregar"/>
    <s v="08368970283"/>
    <x v="3"/>
    <x v="2"/>
    <x v="16"/>
    <n v="4"/>
    <n v="15000"/>
    <n v="60000"/>
    <d v="2025-08-14T00:00:00"/>
    <s v="Agustus"/>
    <s v="E-Wallet"/>
    <s v="Dikirim"/>
  </r>
  <r>
    <n v="10009"/>
    <s v="Hadi Kusuma"/>
    <s v="088997376311"/>
    <x v="6"/>
    <x v="2"/>
    <x v="2"/>
    <n v="5"/>
    <n v="250000"/>
    <n v="1250000"/>
    <d v="2025-06-09T00:00:00"/>
    <s v="Juni"/>
    <s v="COD"/>
    <s v="Retur"/>
  </r>
  <r>
    <n v="10493"/>
    <s v="Citra Rahayu"/>
    <s v="088423567782"/>
    <x v="1"/>
    <x v="4"/>
    <x v="10"/>
    <n v="3"/>
    <n v="15000"/>
    <n v="45000"/>
    <d v="2025-02-17T00:00:00"/>
    <s v="Februari"/>
    <s v="Kartu Kredit"/>
    <s v="Dibatalkan"/>
  </r>
  <r>
    <n v="10568"/>
    <s v="Gita Marpaung"/>
    <s v="088047350476"/>
    <x v="0"/>
    <x v="0"/>
    <x v="17"/>
    <n v="7"/>
    <n v="99000"/>
    <n v="693000"/>
    <d v="2025-08-15T00:00:00"/>
    <s v="Agustus"/>
    <s v="Kartu Kredit"/>
    <s v="Dikirim"/>
  </r>
  <r>
    <n v="10372"/>
    <s v="Wawan Santoso"/>
    <s v="08745508428"/>
    <x v="0"/>
    <x v="3"/>
    <x v="18"/>
    <n v="7"/>
    <n v="25000"/>
    <n v="175000"/>
    <d v="2025-11-13T00:00:00"/>
    <s v="November"/>
    <s v="COD"/>
    <s v="Selesai"/>
  </r>
  <r>
    <n v="10093"/>
    <s v="Rian Siregar"/>
    <s v="08825952694"/>
    <x v="7"/>
    <x v="3"/>
    <x v="19"/>
    <n v="6"/>
    <n v="120000"/>
    <n v="720000"/>
    <d v="2025-09-23T00:00:00"/>
    <s v="September"/>
    <s v="Kartu Kredit"/>
    <s v="Diproses"/>
  </r>
  <r>
    <n v="10269"/>
    <s v="Tono Nasution"/>
    <s v="088830220502"/>
    <x v="1"/>
    <x v="3"/>
    <x v="8"/>
    <n v="10"/>
    <n v="15000"/>
    <n v="150000"/>
    <d v="2025-05-06T00:00:00"/>
    <s v="Mei"/>
    <s v="QRIS"/>
    <s v="Dibatalkan"/>
  </r>
  <r>
    <n v="10094"/>
    <s v="Rian Nasution"/>
    <s v="088097499309"/>
    <x v="4"/>
    <x v="3"/>
    <x v="18"/>
    <n v="6"/>
    <n v="250000"/>
    <n v="1500000"/>
    <d v="2025-02-26T00:00:00"/>
    <s v="Februari"/>
    <s v="Kartu Kredit"/>
    <s v="Retur"/>
  </r>
  <r>
    <n v="10167"/>
    <s v="Gita Hidayat"/>
    <s v="088116868548"/>
    <x v="7"/>
    <x v="3"/>
    <x v="4"/>
    <n v="4"/>
    <n v="250000"/>
    <n v="1000000"/>
    <d v="2025-03-17T00:00:00"/>
    <s v="Maret"/>
    <s v="QRIS"/>
    <s v="Dibatalkan"/>
  </r>
  <r>
    <n v="10277"/>
    <s v="Eka Hidayat"/>
    <s v="088076810409"/>
    <x v="8"/>
    <x v="2"/>
    <x v="20"/>
    <n v="6"/>
    <n v="35000"/>
    <n v="210000"/>
    <d v="2025-02-20T00:00:00"/>
    <s v="Februari"/>
    <s v="QRIS"/>
    <s v="Diproses"/>
  </r>
  <r>
    <n v="10250"/>
    <s v="Oki Halim"/>
    <s v="088684577600"/>
    <x v="0"/>
    <x v="0"/>
    <x v="21"/>
    <n v="7"/>
    <n v="75000"/>
    <n v="525000"/>
    <d v="2025-11-08T00:00:00"/>
    <s v="November"/>
    <s v="COD"/>
    <s v="Retur"/>
  </r>
  <r>
    <n v="10044"/>
    <s v="Eka Siregar"/>
    <s v="088449972787"/>
    <x v="2"/>
    <x v="4"/>
    <x v="5"/>
    <n v="5"/>
    <n v="99000"/>
    <n v="495000"/>
    <d v="2025-06-24T00:00:00"/>
    <s v="Juni"/>
    <s v="QRIS"/>
    <s v="Dibatalkan"/>
  </r>
  <r>
    <n v="10274"/>
    <s v="Kiki Siregar"/>
    <s v="08272785760"/>
    <x v="2"/>
    <x v="4"/>
    <x v="6"/>
    <n v="6"/>
    <n v="75000"/>
    <n v="450000"/>
    <d v="2025-11-12T00:00:00"/>
    <s v="November"/>
    <s v="Kartu Kredit"/>
    <s v="Dikirim"/>
  </r>
  <r>
    <n v="10181"/>
    <s v="Zaki Gunawan"/>
    <s v="088230982150"/>
    <x v="9"/>
    <x v="1"/>
    <x v="22"/>
    <n v="4"/>
    <n v="35000"/>
    <n v="140000"/>
    <d v="2025-07-26T00:00:00"/>
    <s v="Juli"/>
    <s v="Transfer Bank"/>
    <s v="Diproses"/>
  </r>
  <r>
    <n v="10031"/>
    <s v="Chandra Kusuma"/>
    <s v="088527354549"/>
    <x v="8"/>
    <x v="1"/>
    <x v="15"/>
    <n v="10"/>
    <n v="250000"/>
    <n v="2500000"/>
    <d v="2025-07-14T00:00:00"/>
    <s v="Juli"/>
    <s v="E-Wallet"/>
    <s v="Selesai"/>
  </r>
  <r>
    <n v="10179"/>
    <s v="Ahmad Santoso"/>
    <s v=""/>
    <x v="5"/>
    <x v="2"/>
    <x v="14"/>
    <n v="7"/>
    <n v="99000"/>
    <n v="693000"/>
    <d v="2025-08-08T00:00:00"/>
    <s v="Agustus"/>
    <s v="Kartu Kredit"/>
    <s v="Dikirim"/>
  </r>
  <r>
    <n v="10400"/>
    <s v="Vina Setiawan"/>
    <s v="088968549822"/>
    <x v="1"/>
    <x v="2"/>
    <x v="14"/>
    <n v="3"/>
    <n v="45000"/>
    <n v="135000"/>
    <d v="2025-12-03T00:00:00"/>
    <s v="Desember"/>
    <s v="Transfer Bank"/>
    <s v="Selesai"/>
  </r>
  <r>
    <n v="10444"/>
    <s v="Made Pratama"/>
    <s v="088742333059"/>
    <x v="6"/>
    <x v="3"/>
    <x v="18"/>
    <n v="8"/>
    <n v="250000"/>
    <n v="2000000"/>
    <d v="2025-03-25T00:00:00"/>
    <s v="Maret"/>
    <s v="QRIS"/>
    <s v="Diproses"/>
  </r>
  <r>
    <n v="10403"/>
    <s v="Zaki Gunawan"/>
    <s v="088247395003"/>
    <x v="3"/>
    <x v="4"/>
    <x v="5"/>
    <n v="6"/>
    <n v="15000"/>
    <n v="90000"/>
    <d v="2025-07-02T00:00:00"/>
    <s v="Juli"/>
    <s v="E-Wallet"/>
    <s v="Selesai"/>
  </r>
  <r>
    <n v="10382"/>
    <s v="Putri Saputra"/>
    <s v=""/>
    <x v="9"/>
    <x v="1"/>
    <x v="1"/>
    <n v="5"/>
    <n v="50000"/>
    <n v="250000"/>
    <d v="2025-04-21T00:00:00"/>
    <s v="April"/>
    <s v="COD"/>
    <s v="Dikirim"/>
  </r>
  <r>
    <n v="10576"/>
    <s v="Umi Marpaung"/>
    <s v="088788116162"/>
    <x v="4"/>
    <x v="4"/>
    <x v="23"/>
    <n v="8"/>
    <n v="150000"/>
    <n v="1200000"/>
    <d v="2025-09-13T00:00:00"/>
    <s v="September"/>
    <s v="E-Wallet"/>
    <s v="Diproses"/>
  </r>
  <r>
    <n v="10321"/>
    <s v="Erik Rahayu"/>
    <s v="08069375150"/>
    <x v="9"/>
    <x v="1"/>
    <x v="22"/>
    <n v="2"/>
    <n v="120000"/>
    <n v="240000"/>
    <d v="2025-01-21T00:00:00"/>
    <s v="Januari"/>
    <s v="COD"/>
    <s v="Retur"/>
  </r>
  <r>
    <n v="10409"/>
    <s v="Andi Santoso"/>
    <s v="088431115083"/>
    <x v="3"/>
    <x v="3"/>
    <x v="18"/>
    <n v="2"/>
    <n v="50000"/>
    <n v="100000"/>
    <d v="2025-09-14T00:00:00"/>
    <s v="September"/>
    <s v="QRIS"/>
    <s v="Retur"/>
  </r>
  <r>
    <n v="10520"/>
    <s v="Kiki Kusuma"/>
    <s v=""/>
    <x v="9"/>
    <x v="1"/>
    <x v="9"/>
    <n v="1"/>
    <n v="250000"/>
    <n v="250000"/>
    <d v="2025-08-31T00:00:00"/>
    <s v="Agustus"/>
    <s v="Kartu Kredit"/>
    <s v="Dibatalkan"/>
  </r>
  <r>
    <n v="10004"/>
    <s v="Vina Nasution"/>
    <s v="088965328710"/>
    <x v="8"/>
    <x v="0"/>
    <x v="13"/>
    <n v="4"/>
    <n v="150000"/>
    <n v="600000"/>
    <d v="2025-10-03T00:00:00"/>
    <s v="Oktober"/>
    <s v="E-Wallet"/>
    <s v="Retur"/>
  </r>
  <r>
    <n v="10287"/>
    <s v="Eka Saputra"/>
    <s v="088969278687"/>
    <x v="7"/>
    <x v="1"/>
    <x v="12"/>
    <n v="3"/>
    <n v="25000"/>
    <n v="75000"/>
    <d v="2025-12-03T00:00:00"/>
    <s v="Desember"/>
    <s v="Kartu Kredit"/>
    <s v="Dikirim"/>
  </r>
  <r>
    <n v="10470"/>
    <s v="Sari Nugroho"/>
    <s v="088059551842"/>
    <x v="7"/>
    <x v="4"/>
    <x v="10"/>
    <n v="3"/>
    <n v="50000"/>
    <n v="150000"/>
    <d v="2025-01-27T00:00:00"/>
    <s v="Januari"/>
    <s v="COD"/>
    <s v="Diproses"/>
  </r>
  <r>
    <n v="10154"/>
    <s v="Budi Santoso"/>
    <s v="088244720999"/>
    <x v="1"/>
    <x v="1"/>
    <x v="12"/>
    <n v="1"/>
    <n v="99000"/>
    <n v="99000"/>
    <d v="2025-12-16T00:00:00"/>
    <s v="Desember"/>
    <s v="Kartu Kredit"/>
    <s v="Diproses"/>
  </r>
  <r>
    <n v="10562"/>
    <s v="Eka Pratama"/>
    <s v=""/>
    <x v="0"/>
    <x v="4"/>
    <x v="5"/>
    <n v="10"/>
    <n v="15000"/>
    <n v="150000"/>
    <d v="2025-04-10T00:00:00"/>
    <s v="April"/>
    <s v="QRIS"/>
    <s v="Diproses"/>
  </r>
  <r>
    <n v="10547"/>
    <s v="Hadi Simatupang"/>
    <s v="088104967066"/>
    <x v="5"/>
    <x v="1"/>
    <x v="1"/>
    <n v="5"/>
    <n v="50000"/>
    <n v="250000"/>
    <d v="2025-10-29T00:00:00"/>
    <s v="Oktober"/>
    <s v="Kartu Kredit"/>
    <s v="Dibatalkan"/>
  </r>
  <r>
    <n v="10481"/>
    <s v="Eka Halim"/>
    <s v="088847657041"/>
    <x v="5"/>
    <x v="3"/>
    <x v="24"/>
    <n v="10"/>
    <n v="99000"/>
    <n v="990000"/>
    <d v="2025-03-18T00:00:00"/>
    <s v="Maret"/>
    <s v="COD"/>
    <s v="Dikirim"/>
  </r>
  <r>
    <n v="10373"/>
    <s v="Yani Wijaya"/>
    <s v="088135247871"/>
    <x v="8"/>
    <x v="3"/>
    <x v="8"/>
    <n v="10"/>
    <n v="25000"/>
    <n v="250000"/>
    <d v="2025-10-15T00:00:00"/>
    <s v="Oktober"/>
    <s v="Transfer Bank"/>
    <s v="Retur"/>
  </r>
  <r>
    <n v="10386"/>
    <s v="Budi Nasution"/>
    <s v="088182422412"/>
    <x v="6"/>
    <x v="4"/>
    <x v="11"/>
    <n v="1"/>
    <n v="150000"/>
    <n v="150000"/>
    <d v="2025-06-12T00:00:00"/>
    <s v="Juni"/>
    <s v="Kartu Kredit"/>
    <s v="Dibatalkan"/>
  </r>
  <r>
    <n v="10163"/>
    <s v="Vina Santoso"/>
    <s v="08844431069"/>
    <x v="1"/>
    <x v="3"/>
    <x v="24"/>
    <n v="6"/>
    <n v="45000"/>
    <n v="270000"/>
    <d v="2025-04-08T00:00:00"/>
    <s v="April"/>
    <s v="Kartu Kredit"/>
    <s v="Retur"/>
  </r>
  <r>
    <n v="10388"/>
    <s v="Rian Siregar"/>
    <s v="088304891382"/>
    <x v="4"/>
    <x v="0"/>
    <x v="21"/>
    <n v="9"/>
    <n v="99000"/>
    <n v="891000"/>
    <d v="2025-02-03T00:00:00"/>
    <s v="Februari"/>
    <s v="Kartu Kredit"/>
    <s v="Selesai"/>
  </r>
  <r>
    <n v="10361"/>
    <s v="Kiki Wijaya"/>
    <s v="088189616423"/>
    <x v="8"/>
    <x v="2"/>
    <x v="2"/>
    <n v="4"/>
    <n v="15000"/>
    <n v="60000"/>
    <d v="2025-11-26T00:00:00"/>
    <s v="November"/>
    <s v="E-Wallet"/>
    <s v="Dibatalkan"/>
  </r>
  <r>
    <n v="10355"/>
    <s v="Oki Nugroho"/>
    <s v="088669411800"/>
    <x v="2"/>
    <x v="1"/>
    <x v="1"/>
    <n v="1"/>
    <n v="120000"/>
    <n v="120000"/>
    <d v="2025-03-10T00:00:00"/>
    <s v="Maret"/>
    <s v="E-Wallet"/>
    <s v="Dikirim"/>
  </r>
  <r>
    <n v="10229"/>
    <s v="Dian Setiawan"/>
    <s v="088365564729"/>
    <x v="0"/>
    <x v="4"/>
    <x v="10"/>
    <n v="8"/>
    <n v="199000"/>
    <n v="1592000"/>
    <d v="2025-06-25T00:00:00"/>
    <s v="Juni"/>
    <s v="E-Wallet"/>
    <s v="Diproses"/>
  </r>
  <r>
    <n v="10511"/>
    <s v="Chandra Marpaung"/>
    <s v=""/>
    <x v="4"/>
    <x v="0"/>
    <x v="21"/>
    <n v="2"/>
    <n v="150000"/>
    <n v="300000"/>
    <d v="2025-10-06T00:00:00"/>
    <s v="Oktober"/>
    <s v="Kartu Kredit"/>
    <s v="Retur"/>
  </r>
  <r>
    <n v="10106"/>
    <s v="Dewi Santoso"/>
    <s v="088633752431"/>
    <x v="1"/>
    <x v="4"/>
    <x v="6"/>
    <n v="1"/>
    <n v="15000"/>
    <n v="15000"/>
    <d v="2025-06-02T00:00:00"/>
    <s v="Juni"/>
    <s v="Kartu Kredit"/>
    <s v="Retur"/>
  </r>
  <r>
    <n v="10406"/>
    <s v="Bella Lestari"/>
    <s v="088912868578"/>
    <x v="3"/>
    <x v="0"/>
    <x v="13"/>
    <n v="9"/>
    <n v="199000"/>
    <n v="1791000"/>
    <d v="2025-09-08T00:00:00"/>
    <s v="September"/>
    <s v="COD"/>
    <s v="Selesai"/>
  </r>
  <r>
    <n v="10599"/>
    <s v="Lina Pratama"/>
    <s v="08660464197"/>
    <x v="7"/>
    <x v="0"/>
    <x v="13"/>
    <n v="10"/>
    <n v="150000"/>
    <n v="1500000"/>
    <d v="2025-07-16T00:00:00"/>
    <s v="Juli"/>
    <s v="Kartu Kredit"/>
    <s v="Selesai"/>
  </r>
  <r>
    <n v="10495"/>
    <s v="Fitri Lestari"/>
    <s v="088910336829"/>
    <x v="6"/>
    <x v="1"/>
    <x v="22"/>
    <n v="9"/>
    <n v="15000"/>
    <n v="135000"/>
    <d v="2025-08-19T00:00:00"/>
    <s v="Agustus"/>
    <s v="COD"/>
    <s v="Dikirim"/>
  </r>
  <r>
    <n v="10032"/>
    <s v="Andi Hidayat"/>
    <s v="088014363495"/>
    <x v="3"/>
    <x v="1"/>
    <x v="12"/>
    <n v="9"/>
    <n v="45000"/>
    <n v="405000"/>
    <d v="2025-12-20T00:00:00"/>
    <s v="Desember"/>
    <s v="Kartu Kredit"/>
    <s v="Dikirim"/>
  </r>
  <r>
    <n v="10202"/>
    <s v="Yani Gunawan"/>
    <s v="08667665061"/>
    <x v="5"/>
    <x v="3"/>
    <x v="19"/>
    <n v="5"/>
    <n v="150000"/>
    <n v="750000"/>
    <d v="2025-06-02T00:00:00"/>
    <s v="Juni"/>
    <s v="QRIS"/>
    <s v="Diproses"/>
  </r>
  <r>
    <n v="10198"/>
    <s v="Made Wijaya"/>
    <s v="08202590947"/>
    <x v="4"/>
    <x v="0"/>
    <x v="13"/>
    <n v="3"/>
    <n v="199000"/>
    <n v="597000"/>
    <d v="2025-05-11T00:00:00"/>
    <s v="Mei"/>
    <s v="Transfer Bank"/>
    <s v="Dibatalkan"/>
  </r>
  <r>
    <n v="10341"/>
    <s v="Budi Simatupang"/>
    <s v="08659171357"/>
    <x v="2"/>
    <x v="1"/>
    <x v="22"/>
    <n v="1"/>
    <n v="120000"/>
    <n v="120000"/>
    <d v="2025-10-29T00:00:00"/>
    <s v="Oktober"/>
    <s v="Transfer Bank"/>
    <s v="Dibatalkan"/>
  </r>
  <r>
    <n v="10420"/>
    <s v="Fajar Kusuma"/>
    <s v="088081647090"/>
    <x v="4"/>
    <x v="1"/>
    <x v="22"/>
    <n v="3"/>
    <n v="45000"/>
    <n v="135000"/>
    <d v="2025-01-18T00:00:00"/>
    <s v="Januari"/>
    <s v="QRIS"/>
    <s v="Diproses"/>
  </r>
  <r>
    <n v="10081"/>
    <s v="Dewi Kusuma"/>
    <s v="088596401658"/>
    <x v="4"/>
    <x v="1"/>
    <x v="15"/>
    <n v="7"/>
    <n v="35000"/>
    <n v="245000"/>
    <d v="2025-12-20T00:00:00"/>
    <s v="Desember"/>
    <s v="Kartu Kredit"/>
    <s v="Dibatalkan"/>
  </r>
  <r>
    <n v="10017"/>
    <s v="Erik Marpaung"/>
    <s v="088342160733"/>
    <x v="9"/>
    <x v="4"/>
    <x v="6"/>
    <n v="7"/>
    <n v="15000"/>
    <n v="105000"/>
    <d v="2025-02-04T00:00:00"/>
    <s v="Februari"/>
    <s v="E-Wallet"/>
    <s v="Dikirim"/>
  </r>
  <r>
    <n v="10490"/>
    <s v="Dian Pratama"/>
    <s v="088787112166"/>
    <x v="1"/>
    <x v="2"/>
    <x v="14"/>
    <n v="2"/>
    <n v="45000"/>
    <n v="90000"/>
    <d v="2025-07-18T00:00:00"/>
    <s v="Juli"/>
    <s v="Kartu Kredit"/>
    <s v="Selesai"/>
  </r>
  <r>
    <n v="10052"/>
    <s v="Oki Halim"/>
    <s v="088931746120"/>
    <x v="2"/>
    <x v="0"/>
    <x v="0"/>
    <n v="4"/>
    <n v="120000"/>
    <n v="480000"/>
    <d v="2025-01-13T00:00:00"/>
    <s v="Januari"/>
    <s v="QRIS"/>
    <s v="Retur"/>
  </r>
  <r>
    <n v="10448"/>
    <s v="Ahmad Hidayat"/>
    <s v="088321840118"/>
    <x v="9"/>
    <x v="4"/>
    <x v="5"/>
    <n v="9"/>
    <n v="120000"/>
    <n v="1080000"/>
    <d v="2025-10-06T00:00:00"/>
    <s v="Oktober"/>
    <s v="Transfer Bank"/>
    <s v="Selesai"/>
  </r>
  <r>
    <n v="10178"/>
    <s v="Nita Wijaya"/>
    <s v="088752500743"/>
    <x v="9"/>
    <x v="0"/>
    <x v="21"/>
    <n v="10"/>
    <n v="120000"/>
    <n v="1200000"/>
    <d v="2025-03-15T00:00:00"/>
    <s v="Maret"/>
    <s v="E-Wallet"/>
    <s v="Diproses"/>
  </r>
  <r>
    <n v="10101"/>
    <s v="Fajar Siregar"/>
    <s v="08046374549"/>
    <x v="0"/>
    <x v="3"/>
    <x v="4"/>
    <n v="2"/>
    <n v="35000"/>
    <n v="70000"/>
    <d v="2025-03-13T00:00:00"/>
    <s v="Maret"/>
    <s v="Kartu Kredit"/>
    <s v="Dibatalkan"/>
  </r>
  <r>
    <n v="10276"/>
    <s v="Yani Gunawan"/>
    <s v="088215031780"/>
    <x v="4"/>
    <x v="3"/>
    <x v="4"/>
    <n v="4"/>
    <n v="75000"/>
    <n v="300000"/>
    <d v="2025-08-20T00:00:00"/>
    <s v="Agustus"/>
    <s v="E-Wallet"/>
    <s v="Diproses"/>
  </r>
  <r>
    <n v="10423"/>
    <s v="Lina Wijaya"/>
    <s v="088195625257"/>
    <x v="3"/>
    <x v="0"/>
    <x v="7"/>
    <n v="8"/>
    <n v="25000"/>
    <n v="200000"/>
    <d v="2025-12-31T00:00:00"/>
    <s v="Desember"/>
    <s v="QRIS"/>
    <s v="Retur"/>
  </r>
  <r>
    <n v="10385"/>
    <s v="Ahmad Wijaya"/>
    <s v="088433971895"/>
    <x v="0"/>
    <x v="1"/>
    <x v="15"/>
    <n v="1"/>
    <n v="25000"/>
    <n v="25000"/>
    <d v="2025-12-04T00:00:00"/>
    <s v="Desember"/>
    <s v="QRIS"/>
    <s v="Diproses"/>
  </r>
  <r>
    <n v="10419"/>
    <s v="Yani Lestari"/>
    <s v="08422091241"/>
    <x v="8"/>
    <x v="1"/>
    <x v="1"/>
    <n v="2"/>
    <n v="150000"/>
    <n v="300000"/>
    <d v="2025-12-03T00:00:00"/>
    <s v="Desember"/>
    <s v="COD"/>
    <s v="Dikirim"/>
  </r>
  <r>
    <n v="10436"/>
    <s v="Lina Siregar"/>
    <s v=""/>
    <x v="2"/>
    <x v="0"/>
    <x v="17"/>
    <n v="2"/>
    <n v="15000"/>
    <n v="30000"/>
    <d v="2025-08-22T00:00:00"/>
    <s v="Agustus"/>
    <s v="Kartu Kredit"/>
    <s v="Diproses"/>
  </r>
  <r>
    <n v="10472"/>
    <s v="Vina Siregar"/>
    <s v="088239724042"/>
    <x v="8"/>
    <x v="1"/>
    <x v="22"/>
    <n v="3"/>
    <n v="120000"/>
    <n v="360000"/>
    <d v="2025-02-17T00:00:00"/>
    <s v="Februari"/>
    <s v="Kartu Kredit"/>
    <s v="Diproses"/>
  </r>
  <r>
    <n v="10461"/>
    <s v="Nita Gunawan"/>
    <s v="088256862110"/>
    <x v="9"/>
    <x v="4"/>
    <x v="11"/>
    <n v="5"/>
    <n v="25000"/>
    <n v="125000"/>
    <d v="2025-08-04T00:00:00"/>
    <s v="Agustus"/>
    <s v="Kartu Kredit"/>
    <s v="Retur"/>
  </r>
  <r>
    <n v="10042"/>
    <s v="Ahmad Nasution"/>
    <s v=""/>
    <x v="7"/>
    <x v="0"/>
    <x v="7"/>
    <n v="3"/>
    <n v="50000"/>
    <n v="150000"/>
    <d v="2025-08-13T00:00:00"/>
    <s v="Agustus"/>
    <s v="Kartu Kredit"/>
    <s v="Selesai"/>
  </r>
  <r>
    <n v="10365"/>
    <s v="Indah Kusuma"/>
    <s v="088459779452"/>
    <x v="7"/>
    <x v="1"/>
    <x v="9"/>
    <n v="3"/>
    <n v="99000"/>
    <n v="297000"/>
    <d v="2025-01-24T00:00:00"/>
    <s v="Januari"/>
    <s v="Transfer Bank"/>
    <s v="Dikirim"/>
  </r>
  <r>
    <n v="10206"/>
    <s v="Indah Pratama"/>
    <s v="088135775949"/>
    <x v="2"/>
    <x v="0"/>
    <x v="17"/>
    <n v="3"/>
    <n v="250000"/>
    <n v="750000"/>
    <d v="2025-12-02T00:00:00"/>
    <s v="Desember"/>
    <s v="COD"/>
    <s v="Selesai"/>
  </r>
  <r>
    <n v="10047"/>
    <s v="Hadi Kusuma"/>
    <s v="088455623869"/>
    <x v="5"/>
    <x v="3"/>
    <x v="4"/>
    <n v="3"/>
    <n v="50000"/>
    <n v="150000"/>
    <d v="2025-01-15T00:00:00"/>
    <s v="Januari"/>
    <s v="Transfer Bank"/>
    <s v="Dibatalkan"/>
  </r>
  <r>
    <n v="10347"/>
    <s v="Dian Kusuma"/>
    <s v="088898471391"/>
    <x v="6"/>
    <x v="3"/>
    <x v="4"/>
    <n v="3"/>
    <n v="45000"/>
    <n v="135000"/>
    <d v="2025-02-27T00:00:00"/>
    <s v="Februari"/>
    <s v="QRIS"/>
    <s v="Retur"/>
  </r>
  <r>
    <n v="10561"/>
    <s v="Chandra Hidayat"/>
    <s v="088477324491"/>
    <x v="0"/>
    <x v="2"/>
    <x v="3"/>
    <n v="6"/>
    <n v="25000"/>
    <n v="150000"/>
    <d v="2025-06-27T00:00:00"/>
    <s v="Juni"/>
    <s v="E-Wallet"/>
    <s v="Diproses"/>
  </r>
  <r>
    <n v="10460"/>
    <s v="Putri Siregar"/>
    <s v="088560531340"/>
    <x v="4"/>
    <x v="1"/>
    <x v="9"/>
    <n v="9"/>
    <n v="50000"/>
    <n v="450000"/>
    <d v="2025-02-25T00:00:00"/>
    <s v="Februari"/>
    <s v="Kartu Kredit"/>
    <s v="Dikirim"/>
  </r>
  <r>
    <n v="10454"/>
    <s v="Bella Siregar"/>
    <s v="088405396727"/>
    <x v="2"/>
    <x v="0"/>
    <x v="0"/>
    <n v="9"/>
    <n v="35000"/>
    <n v="315000"/>
    <d v="2025-12-03T00:00:00"/>
    <s v="Desember"/>
    <s v="COD"/>
    <s v="Diproses"/>
  </r>
  <r>
    <n v="10301"/>
    <s v="Wawan Rahayu"/>
    <s v="088280634615"/>
    <x v="7"/>
    <x v="3"/>
    <x v="18"/>
    <n v="9"/>
    <n v="75000"/>
    <n v="675000"/>
    <d v="2025-11-02T00:00:00"/>
    <s v="November"/>
    <s v="Kartu Kredit"/>
    <s v="Dibatalkan"/>
  </r>
  <r>
    <n v="10092"/>
    <s v="Tono Hidayat"/>
    <s v="088121655852"/>
    <x v="0"/>
    <x v="3"/>
    <x v="4"/>
    <n v="9"/>
    <n v="120000"/>
    <n v="1080000"/>
    <d v="2025-10-09T00:00:00"/>
    <s v="Oktober"/>
    <s v="E-Wallet"/>
    <s v="Retur"/>
  </r>
  <r>
    <n v="10531"/>
    <s v="Citra Saputra"/>
    <s v="08760146723"/>
    <x v="2"/>
    <x v="2"/>
    <x v="16"/>
    <n v="4"/>
    <n v="45000"/>
    <n v="180000"/>
    <d v="2025-02-23T00:00:00"/>
    <s v="Februari"/>
    <s v="Kartu Kredit"/>
    <s v="Selesai"/>
  </r>
  <r>
    <n v="10221"/>
    <s v="Lina Kusuma"/>
    <s v=""/>
    <x v="7"/>
    <x v="1"/>
    <x v="12"/>
    <n v="10"/>
    <n v="250000"/>
    <n v="2500000"/>
    <d v="2025-09-24T00:00:00"/>
    <s v="September"/>
    <s v="E-Wallet"/>
    <s v="Retur"/>
  </r>
  <r>
    <n v="10338"/>
    <s v="Erik Pratama"/>
    <s v="08427624671"/>
    <x v="8"/>
    <x v="1"/>
    <x v="12"/>
    <n v="8"/>
    <n v="15000"/>
    <n v="120000"/>
    <d v="2025-01-17T00:00:00"/>
    <s v="Januari"/>
    <s v="COD"/>
    <s v="Retur"/>
  </r>
  <r>
    <n v="10265"/>
    <s v="Oki Simatupang"/>
    <s v="088764472649"/>
    <x v="3"/>
    <x v="2"/>
    <x v="14"/>
    <n v="1"/>
    <n v="150000"/>
    <n v="150000"/>
    <d v="2025-07-18T00:00:00"/>
    <s v="Juli"/>
    <s v="QRIS"/>
    <s v="Selesai"/>
  </r>
  <r>
    <n v="10083"/>
    <s v="Vina Setiawan"/>
    <s v="088739473121"/>
    <x v="5"/>
    <x v="4"/>
    <x v="11"/>
    <n v="9"/>
    <n v="99000"/>
    <n v="891000"/>
    <d v="2025-10-15T00:00:00"/>
    <s v="Oktober"/>
    <s v="Transfer Bank"/>
    <s v="Dibatalkan"/>
  </r>
  <r>
    <n v="10060"/>
    <s v="Wawan Nasution"/>
    <s v="088998094024"/>
    <x v="5"/>
    <x v="2"/>
    <x v="20"/>
    <n v="2"/>
    <n v="50000"/>
    <n v="100000"/>
    <d v="2025-10-21T00:00:00"/>
    <s v="Oktober"/>
    <s v="COD"/>
    <s v="Dikirim"/>
  </r>
  <r>
    <n v="10066"/>
    <s v="Dewi Lestari"/>
    <s v="088979955271"/>
    <x v="3"/>
    <x v="2"/>
    <x v="2"/>
    <n v="2"/>
    <n v="35000"/>
    <n v="70000"/>
    <d v="2025-11-18T00:00:00"/>
    <s v="November"/>
    <s v="Kartu Kredit"/>
    <s v="Dikirim"/>
  </r>
  <r>
    <n v="10152"/>
    <s v="Chandra Wijaya"/>
    <s v="088206788317"/>
    <x v="6"/>
    <x v="3"/>
    <x v="19"/>
    <n v="6"/>
    <n v="99000"/>
    <n v="594000"/>
    <d v="2025-09-20T00:00:00"/>
    <s v="September"/>
    <s v="Transfer Bank"/>
    <s v="Dibatalkan"/>
  </r>
  <r>
    <n v="10278"/>
    <s v="Oki Wijaya"/>
    <s v="088448571422"/>
    <x v="0"/>
    <x v="0"/>
    <x v="0"/>
    <n v="10"/>
    <n v="50000"/>
    <n v="500000"/>
    <d v="2025-11-24T00:00:00"/>
    <s v="November"/>
    <s v="COD"/>
    <s v="Dibatalkan"/>
  </r>
  <r>
    <n v="10543"/>
    <s v="Fitri Wijaya"/>
    <s v="088266821719"/>
    <x v="3"/>
    <x v="2"/>
    <x v="14"/>
    <n v="1"/>
    <n v="150000"/>
    <n v="150000"/>
    <d v="2025-04-09T00:00:00"/>
    <s v="April"/>
    <s v="Transfer Bank"/>
    <s v="Dikirim"/>
  </r>
  <r>
    <n v="10468"/>
    <s v="Bella Saputra"/>
    <s v="088881278686"/>
    <x v="2"/>
    <x v="4"/>
    <x v="10"/>
    <n v="1"/>
    <n v="199000"/>
    <n v="199000"/>
    <d v="2025-02-01T00:00:00"/>
    <s v="Februari"/>
    <s v="COD"/>
    <s v="Dikirim"/>
  </r>
  <r>
    <n v="10117"/>
    <s v="Citra Nasution"/>
    <s v="08148902503"/>
    <x v="6"/>
    <x v="3"/>
    <x v="8"/>
    <n v="1"/>
    <n v="45000"/>
    <n v="45000"/>
    <d v="2025-04-19T00:00:00"/>
    <s v="April"/>
    <s v="QRIS"/>
    <s v="Dikirim"/>
  </r>
  <r>
    <n v="10109"/>
    <s v="Eka Rahayu"/>
    <s v="088866882634"/>
    <x v="9"/>
    <x v="1"/>
    <x v="9"/>
    <n v="4"/>
    <n v="50000"/>
    <n v="200000"/>
    <d v="2025-12-29T00:00:00"/>
    <s v="Desember"/>
    <s v="COD"/>
    <s v="Dikirim"/>
  </r>
  <r>
    <n v="10201"/>
    <s v="Putri Wijaya"/>
    <s v="088336138612"/>
    <x v="3"/>
    <x v="2"/>
    <x v="16"/>
    <n v="2"/>
    <n v="35000"/>
    <n v="70000"/>
    <d v="2025-10-03T00:00:00"/>
    <s v="Oktober"/>
    <s v="QRIS"/>
    <s v="Selesai"/>
  </r>
  <r>
    <n v="10496"/>
    <s v="Lina Hidayat"/>
    <s v="088766558685"/>
    <x v="2"/>
    <x v="0"/>
    <x v="17"/>
    <n v="1"/>
    <n v="50000"/>
    <n v="50000"/>
    <d v="2025-06-07T00:00:00"/>
    <s v="Juni"/>
    <s v="QRIS"/>
    <s v="Selesai"/>
  </r>
  <r>
    <n v="10449"/>
    <s v="Sari Santoso"/>
    <s v="088758598831"/>
    <x v="7"/>
    <x v="0"/>
    <x v="0"/>
    <n v="9"/>
    <n v="50000"/>
    <n v="450000"/>
    <d v="2025-12-04T00:00:00"/>
    <s v="Desember"/>
    <s v="QRIS"/>
    <s v="Dikirim"/>
  </r>
  <r>
    <n v="10445"/>
    <s v="Made Marpaung"/>
    <s v="08263013674"/>
    <x v="7"/>
    <x v="0"/>
    <x v="21"/>
    <n v="3"/>
    <n v="15000"/>
    <n v="45000"/>
    <d v="2025-03-02T00:00:00"/>
    <s v="Maret"/>
    <s v="QRIS"/>
    <s v="Dibatalkan"/>
  </r>
  <r>
    <n v="10233"/>
    <s v="Tono Siregar"/>
    <s v="088647598762"/>
    <x v="5"/>
    <x v="0"/>
    <x v="13"/>
    <n v="6"/>
    <n v="75000"/>
    <n v="450000"/>
    <d v="2025-01-12T00:00:00"/>
    <s v="Januari"/>
    <s v="E-Wallet"/>
    <s v="Dibatalkan"/>
  </r>
  <r>
    <n v="10551"/>
    <s v="Putri Hidayat"/>
    <s v="088447232290"/>
    <x v="7"/>
    <x v="3"/>
    <x v="18"/>
    <n v="10"/>
    <n v="150000"/>
    <n v="1500000"/>
    <d v="2025-10-06T00:00:00"/>
    <s v="Oktober"/>
    <s v="Transfer Bank"/>
    <s v="Dikirim"/>
  </r>
  <r>
    <n v="10507"/>
    <s v="Oki Santoso"/>
    <s v="088125625313"/>
    <x v="0"/>
    <x v="2"/>
    <x v="14"/>
    <n v="5"/>
    <n v="199000"/>
    <n v="995000"/>
    <d v="2025-11-27T00:00:00"/>
    <s v="November"/>
    <s v="QRIS"/>
    <s v="Dibatalkan"/>
  </r>
  <r>
    <n v="10595"/>
    <s v="Joko Lestari"/>
    <s v="088123361328"/>
    <x v="8"/>
    <x v="4"/>
    <x v="11"/>
    <n v="1"/>
    <n v="250000"/>
    <n v="250000"/>
    <d v="2025-03-17T00:00:00"/>
    <s v="Maret"/>
    <s v="COD"/>
    <s v="Diproses"/>
  </r>
  <r>
    <n v="10572"/>
    <s v="Citra Kusuma"/>
    <s v="088945680447"/>
    <x v="1"/>
    <x v="3"/>
    <x v="8"/>
    <n v="10"/>
    <n v="35000"/>
    <n v="350000"/>
    <d v="2025-02-18T00:00:00"/>
    <s v="Februari"/>
    <s v="QRIS"/>
    <s v="Dikirim"/>
  </r>
  <r>
    <n v="10073"/>
    <s v="Oki Simatupang"/>
    <s v=""/>
    <x v="1"/>
    <x v="2"/>
    <x v="14"/>
    <n v="3"/>
    <n v="45000"/>
    <n v="135000"/>
    <d v="2025-11-06T00:00:00"/>
    <s v="November"/>
    <s v="COD"/>
    <s v="Dibatalkan"/>
  </r>
  <r>
    <n v="10463"/>
    <s v="Yani Nugroho"/>
    <s v="088260432609"/>
    <x v="3"/>
    <x v="3"/>
    <x v="8"/>
    <n v="10"/>
    <n v="35000"/>
    <n v="350000"/>
    <d v="2025-07-04T00:00:00"/>
    <s v="Juli"/>
    <s v="QRIS"/>
    <s v="Diproses"/>
  </r>
  <r>
    <n v="10218"/>
    <s v="Tono Pratama"/>
    <s v="088448695946"/>
    <x v="7"/>
    <x v="4"/>
    <x v="10"/>
    <n v="7"/>
    <n v="75000"/>
    <n v="525000"/>
    <d v="2025-02-24T00:00:00"/>
    <s v="Februari"/>
    <s v="COD"/>
    <s v="Dikirim"/>
  </r>
  <r>
    <n v="10482"/>
    <s v="Erik Wijaya"/>
    <s v="08498436241"/>
    <x v="9"/>
    <x v="4"/>
    <x v="5"/>
    <n v="7"/>
    <n v="99000"/>
    <n v="693000"/>
    <d v="2025-12-15T00:00:00"/>
    <s v="Desember"/>
    <s v="Kartu Kredit"/>
    <s v="Retur"/>
  </r>
  <r>
    <n v="10038"/>
    <s v="Yani Nasution"/>
    <s v="088936183242"/>
    <x v="7"/>
    <x v="0"/>
    <x v="17"/>
    <n v="8"/>
    <n v="25000"/>
    <n v="200000"/>
    <d v="2025-12-18T00:00:00"/>
    <s v="Desember"/>
    <s v="COD"/>
    <s v="Dibatalkan"/>
  </r>
  <r>
    <n v="10139"/>
    <s v="Hadi Simatupang"/>
    <s v="088115542622"/>
    <x v="7"/>
    <x v="0"/>
    <x v="0"/>
    <n v="7"/>
    <n v="35000"/>
    <n v="245000"/>
    <d v="2025-09-02T00:00:00"/>
    <s v="September"/>
    <s v="Transfer Bank"/>
    <s v="Diproses"/>
  </r>
  <r>
    <n v="10026"/>
    <s v="Joko Siregar"/>
    <s v="088656272980"/>
    <x v="0"/>
    <x v="2"/>
    <x v="3"/>
    <n v="4"/>
    <n v="120000"/>
    <n v="480000"/>
    <d v="2025-04-23T00:00:00"/>
    <s v="April"/>
    <s v="E-Wallet"/>
    <s v="Dikirim"/>
  </r>
  <r>
    <n v="10289"/>
    <s v="Dian Setiawan"/>
    <s v="088490580778"/>
    <x v="0"/>
    <x v="2"/>
    <x v="3"/>
    <n v="2"/>
    <n v="45000"/>
    <n v="90000"/>
    <d v="2025-08-30T00:00:00"/>
    <s v="Agustus"/>
    <s v="Transfer Bank"/>
    <s v="Retur"/>
  </r>
  <r>
    <n v="10271"/>
    <s v="Lina Siregar"/>
    <s v="088833901981"/>
    <x v="1"/>
    <x v="3"/>
    <x v="18"/>
    <n v="8"/>
    <n v="35000"/>
    <n v="280000"/>
    <d v="2025-03-04T00:00:00"/>
    <s v="Maret"/>
    <s v="E-Wallet"/>
    <s v="Dibatalkan"/>
  </r>
  <r>
    <n v="10303"/>
    <s v="Dewi Hidayat"/>
    <s v="088079032020"/>
    <x v="8"/>
    <x v="2"/>
    <x v="2"/>
    <n v="10"/>
    <n v="45000"/>
    <n v="450000"/>
    <d v="2025-06-02T00:00:00"/>
    <s v="Juni"/>
    <s v="Transfer Bank"/>
    <s v="Diproses"/>
  </r>
  <r>
    <n v="10180"/>
    <s v="Gita Halim"/>
    <s v="088168942104"/>
    <x v="6"/>
    <x v="4"/>
    <x v="5"/>
    <n v="1"/>
    <n v="250000"/>
    <n v="250000"/>
    <d v="2025-05-08T00:00:00"/>
    <s v="Mei"/>
    <s v="COD"/>
    <s v="Dibatalkan"/>
  </r>
  <r>
    <n v="10457"/>
    <s v="Fajar Kusuma"/>
    <s v="088538144744"/>
    <x v="9"/>
    <x v="0"/>
    <x v="0"/>
    <n v="7"/>
    <n v="120000"/>
    <n v="840000"/>
    <d v="2025-07-14T00:00:00"/>
    <s v="Juli"/>
    <s v="COD"/>
    <s v="Dibatalkan"/>
  </r>
  <r>
    <n v="10054"/>
    <s v="Oki Nugroho"/>
    <s v="08713900532"/>
    <x v="5"/>
    <x v="0"/>
    <x v="7"/>
    <n v="6"/>
    <n v="15000"/>
    <n v="90000"/>
    <d v="2025-07-23T00:00:00"/>
    <s v="Juli"/>
    <s v="E-Wallet"/>
    <s v="Diproses"/>
  </r>
  <r>
    <n v="10059"/>
    <s v="Nita Pratama"/>
    <s v="088604945198"/>
    <x v="9"/>
    <x v="3"/>
    <x v="8"/>
    <n v="9"/>
    <n v="150000"/>
    <n v="1350000"/>
    <d v="2025-06-18T00:00:00"/>
    <s v="Juni"/>
    <s v="Transfer Bank"/>
    <s v="Dikirim"/>
  </r>
  <r>
    <n v="10027"/>
    <s v="Tono Saputra"/>
    <s v="088564641708"/>
    <x v="1"/>
    <x v="1"/>
    <x v="9"/>
    <n v="1"/>
    <n v="50000"/>
    <n v="50000"/>
    <d v="2025-07-14T00:00:00"/>
    <s v="Juli"/>
    <s v="E-Wallet"/>
    <s v="Diproses"/>
  </r>
  <r>
    <n v="10245"/>
    <s v="Eka Simatupang"/>
    <s v="08959351863"/>
    <x v="4"/>
    <x v="0"/>
    <x v="21"/>
    <n v="1"/>
    <n v="250000"/>
    <n v="250000"/>
    <d v="2025-09-17T00:00:00"/>
    <s v="September"/>
    <s v="Kartu Kredit"/>
    <s v="Diproses"/>
  </r>
  <r>
    <n v="10280"/>
    <s v="Dewi Siregar"/>
    <s v="088538179217"/>
    <x v="5"/>
    <x v="1"/>
    <x v="9"/>
    <n v="10"/>
    <n v="199000"/>
    <n v="1990000"/>
    <d v="2025-11-19T00:00:00"/>
    <s v="November"/>
    <s v="Kartu Kredit"/>
    <s v="Retur"/>
  </r>
  <r>
    <n v="10343"/>
    <s v="Tono Nasution"/>
    <s v="088649878208"/>
    <x v="3"/>
    <x v="3"/>
    <x v="18"/>
    <n v="9"/>
    <n v="50000"/>
    <n v="450000"/>
    <d v="2025-08-10T00:00:00"/>
    <s v="Agustus"/>
    <s v="QRIS"/>
    <s v="Dibatalkan"/>
  </r>
  <r>
    <n v="10293"/>
    <s v="Zaki Halim"/>
    <s v="088836674286"/>
    <x v="4"/>
    <x v="3"/>
    <x v="19"/>
    <n v="8"/>
    <n v="99000"/>
    <n v="792000"/>
    <d v="2025-01-09T00:00:00"/>
    <s v="Januari"/>
    <s v="E-Wallet"/>
    <s v="Dikirim"/>
  </r>
  <r>
    <n v="10517"/>
    <s v="Lina Setiawan"/>
    <s v="088074510663"/>
    <x v="0"/>
    <x v="0"/>
    <x v="21"/>
    <n v="4"/>
    <n v="35000"/>
    <n v="140000"/>
    <d v="2025-07-23T00:00:00"/>
    <s v="Juli"/>
    <s v="QRIS"/>
    <s v="Dikirim"/>
  </r>
  <r>
    <n v="10024"/>
    <s v="Chandra Setiawan"/>
    <s v="088812236231"/>
    <x v="8"/>
    <x v="4"/>
    <x v="10"/>
    <n v="8"/>
    <n v="25000"/>
    <n v="200000"/>
    <d v="2025-05-27T00:00:00"/>
    <s v="Mei"/>
    <s v="COD"/>
    <s v="Dibatalkan"/>
  </r>
  <r>
    <n v="10529"/>
    <s v="Tono Halim"/>
    <s v="088870104159"/>
    <x v="2"/>
    <x v="2"/>
    <x v="20"/>
    <n v="1"/>
    <n v="99000"/>
    <n v="99000"/>
    <d v="2025-06-03T00:00:00"/>
    <s v="Juni"/>
    <s v="Kartu Kredit"/>
    <s v="Selesai"/>
  </r>
  <r>
    <n v="10541"/>
    <s v="Indah Hidayat"/>
    <s v=""/>
    <x v="7"/>
    <x v="4"/>
    <x v="23"/>
    <n v="6"/>
    <n v="250000"/>
    <n v="1500000"/>
    <d v="2025-02-01T00:00:00"/>
    <s v="Februari"/>
    <s v="COD"/>
    <s v="Dikirim"/>
  </r>
  <r>
    <n v="10583"/>
    <s v="Sari Siregar"/>
    <s v="088324268774"/>
    <x v="1"/>
    <x v="1"/>
    <x v="22"/>
    <n v="5"/>
    <n v="150000"/>
    <n v="750000"/>
    <d v="2025-06-12T00:00:00"/>
    <s v="Juni"/>
    <s v="QRIS"/>
    <s v="Selesai"/>
  </r>
  <r>
    <n v="10494"/>
    <s v="Fitri Siregar"/>
    <s v=""/>
    <x v="0"/>
    <x v="4"/>
    <x v="5"/>
    <n v="10"/>
    <n v="199000"/>
    <n v="1990000"/>
    <d v="2025-03-16T00:00:00"/>
    <s v="Maret"/>
    <s v="E-Wallet"/>
    <s v="Dibatalkan"/>
  </r>
  <r>
    <n v="10580"/>
    <s v="Umi Santoso"/>
    <s v="088694596488"/>
    <x v="6"/>
    <x v="2"/>
    <x v="2"/>
    <n v="6"/>
    <n v="250000"/>
    <n v="1500000"/>
    <d v="2025-08-01T00:00:00"/>
    <s v="Agustus"/>
    <s v="COD"/>
    <s v="Dibatalkan"/>
  </r>
  <r>
    <n v="10359"/>
    <s v="Putri Simatupang"/>
    <s v="088849939089"/>
    <x v="5"/>
    <x v="4"/>
    <x v="5"/>
    <n v="6"/>
    <n v="25000"/>
    <n v="150000"/>
    <d v="2025-04-15T00:00:00"/>
    <s v="April"/>
    <s v="E-Wallet"/>
    <s v="Diproses"/>
  </r>
  <r>
    <n v="10120"/>
    <s v="Yani Lestari"/>
    <s v="088126788861"/>
    <x v="6"/>
    <x v="3"/>
    <x v="24"/>
    <n v="1"/>
    <n v="50000"/>
    <n v="50000"/>
    <d v="2025-08-16T00:00:00"/>
    <s v="Agustus"/>
    <s v="E-Wallet"/>
    <s v="Dibatalkan"/>
  </r>
  <r>
    <n v="10130"/>
    <s v="Lina Halim"/>
    <s v="088412528669"/>
    <x v="2"/>
    <x v="0"/>
    <x v="7"/>
    <n v="10"/>
    <n v="25000"/>
    <n v="250000"/>
    <d v="2025-12-11T00:00:00"/>
    <s v="Desember"/>
    <s v="COD"/>
    <s v="Dibatalkan"/>
  </r>
  <r>
    <n v="10467"/>
    <s v="Umi Gunawan"/>
    <s v="08855716176"/>
    <x v="8"/>
    <x v="2"/>
    <x v="2"/>
    <n v="1"/>
    <n v="35000"/>
    <n v="35000"/>
    <d v="2025-04-09T00:00:00"/>
    <s v="April"/>
    <s v="Kartu Kredit"/>
    <s v="Retur"/>
  </r>
  <r>
    <n v="10497"/>
    <s v="Oki Marpaung"/>
    <s v="088911110961"/>
    <x v="9"/>
    <x v="2"/>
    <x v="2"/>
    <n v="9"/>
    <n v="99000"/>
    <n v="891000"/>
    <d v="2025-07-15T00:00:00"/>
    <s v="Juli"/>
    <s v="E-Wallet"/>
    <s v="Dikirim"/>
  </r>
  <r>
    <n v="10323"/>
    <s v="Made Halim"/>
    <s v="088674266299"/>
    <x v="4"/>
    <x v="0"/>
    <x v="17"/>
    <n v="8"/>
    <n v="150000"/>
    <n v="1200000"/>
    <d v="2025-02-14T00:00:00"/>
    <s v="Februari"/>
    <s v="COD"/>
    <s v="Dikirim"/>
  </r>
  <r>
    <n v="10284"/>
    <s v="Fajar Rahayu"/>
    <s v="08290227846"/>
    <x v="5"/>
    <x v="3"/>
    <x v="8"/>
    <n v="7"/>
    <n v="75000"/>
    <n v="525000"/>
    <d v="2025-09-11T00:00:00"/>
    <s v="September"/>
    <s v="Transfer Bank"/>
    <s v="Selesai"/>
  </r>
  <r>
    <n v="10270"/>
    <s v="Chandra Rahayu"/>
    <s v="088998279501"/>
    <x v="5"/>
    <x v="3"/>
    <x v="4"/>
    <n v="3"/>
    <n v="35000"/>
    <n v="105000"/>
    <d v="2025-11-12T00:00:00"/>
    <s v="November"/>
    <s v="E-Wallet"/>
    <s v="Retur"/>
  </r>
  <r>
    <n v="10112"/>
    <s v="Indah Halim"/>
    <s v=""/>
    <x v="8"/>
    <x v="3"/>
    <x v="4"/>
    <n v="6"/>
    <n v="45000"/>
    <n v="270000"/>
    <d v="2025-07-09T00:00:00"/>
    <s v="Juli"/>
    <s v="E-Wallet"/>
    <s v="Dikirim"/>
  </r>
  <r>
    <n v="10519"/>
    <s v="Hadi Siregar"/>
    <s v="088940128974"/>
    <x v="1"/>
    <x v="4"/>
    <x v="10"/>
    <n v="8"/>
    <n v="45000"/>
    <n v="360000"/>
    <d v="2025-03-29T00:00:00"/>
    <s v="Maret"/>
    <s v="COD"/>
    <s v="Dibatalkan"/>
  </r>
  <r>
    <n v="10128"/>
    <s v="Fitri Nugroho"/>
    <s v="088266093796"/>
    <x v="9"/>
    <x v="4"/>
    <x v="10"/>
    <n v="9"/>
    <n v="99000"/>
    <n v="891000"/>
    <d v="2025-08-25T00:00:00"/>
    <s v="Agustus"/>
    <s v="COD"/>
    <s v="Dikirim"/>
  </r>
  <r>
    <n v="10143"/>
    <s v="Rian Rahayu"/>
    <s v="088183285691"/>
    <x v="1"/>
    <x v="1"/>
    <x v="1"/>
    <n v="9"/>
    <n v="150000"/>
    <n v="1350000"/>
    <d v="2025-11-12T00:00:00"/>
    <s v="November"/>
    <s v="COD"/>
    <s v="Dibatalkan"/>
  </r>
  <r>
    <n v="10475"/>
    <s v="Yani Setiawan"/>
    <s v="088303662543"/>
    <x v="5"/>
    <x v="3"/>
    <x v="24"/>
    <n v="9"/>
    <n v="50000"/>
    <n v="450000"/>
    <d v="2025-02-22T00:00:00"/>
    <s v="Februari"/>
    <s v="QRIS"/>
    <s v="Dikirim"/>
  </r>
  <r>
    <n v="10485"/>
    <s v="Tono Nasution"/>
    <s v="088652156818"/>
    <x v="7"/>
    <x v="3"/>
    <x v="18"/>
    <n v="1"/>
    <n v="75000"/>
    <n v="75000"/>
    <d v="2025-05-25T00:00:00"/>
    <s v="Mei"/>
    <s v="Kartu Kredit"/>
    <s v="Retur"/>
  </r>
  <r>
    <n v="10252"/>
    <s v="Erik Nugroho"/>
    <s v="088279194096"/>
    <x v="4"/>
    <x v="3"/>
    <x v="8"/>
    <n v="7"/>
    <n v="199000"/>
    <n v="1393000"/>
    <d v="2025-04-22T00:00:00"/>
    <s v="April"/>
    <s v="Transfer Bank"/>
    <s v="Dibatalkan"/>
  </r>
  <r>
    <n v="10136"/>
    <s v="Rian Setiawan"/>
    <s v="08636374545"/>
    <x v="8"/>
    <x v="0"/>
    <x v="7"/>
    <n v="1"/>
    <n v="25000"/>
    <n v="25000"/>
    <d v="2025-08-23T00:00:00"/>
    <s v="Agustus"/>
    <s v="E-Wallet"/>
    <s v="Selesai"/>
  </r>
  <r>
    <n v="10433"/>
    <s v="Fajar Nasution"/>
    <s v="088223728179"/>
    <x v="5"/>
    <x v="1"/>
    <x v="15"/>
    <n v="7"/>
    <n v="250000"/>
    <n v="1750000"/>
    <d v="2025-05-28T00:00:00"/>
    <s v="Mei"/>
    <s v="Kartu Kredit"/>
    <s v="Diproses"/>
  </r>
  <r>
    <n v="10192"/>
    <s v="Putri Lestari"/>
    <s v="08351609177"/>
    <x v="5"/>
    <x v="2"/>
    <x v="2"/>
    <n v="4"/>
    <n v="25000"/>
    <n v="100000"/>
    <d v="2025-07-21T00:00:00"/>
    <s v="Juli"/>
    <s v="COD"/>
    <s v="Dikirim"/>
  </r>
  <r>
    <n v="10434"/>
    <s v="Gita Wijaya"/>
    <s v="088614150937"/>
    <x v="3"/>
    <x v="1"/>
    <x v="12"/>
    <n v="10"/>
    <n v="25000"/>
    <n v="250000"/>
    <d v="2025-11-22T00:00:00"/>
    <s v="November"/>
    <s v="COD"/>
    <s v="Selesai"/>
  </r>
  <r>
    <n v="10358"/>
    <s v="Erik Santoso"/>
    <s v="088742761707"/>
    <x v="8"/>
    <x v="2"/>
    <x v="14"/>
    <n v="1"/>
    <n v="45000"/>
    <n v="45000"/>
    <d v="2025-03-18T00:00:00"/>
    <s v="Maret"/>
    <s v="Transfer Bank"/>
    <s v="Diproses"/>
  </r>
  <r>
    <n v="10488"/>
    <s v="Kiki Santoso"/>
    <s v="088747472197"/>
    <x v="9"/>
    <x v="0"/>
    <x v="7"/>
    <n v="6"/>
    <n v="75000"/>
    <n v="450000"/>
    <d v="2025-02-15T00:00:00"/>
    <s v="Februari"/>
    <s v="Transfer Bank"/>
    <s v="Diproses"/>
  </r>
  <r>
    <n v="10421"/>
    <s v="Ahmad Hidayat"/>
    <s v="088131220681"/>
    <x v="6"/>
    <x v="4"/>
    <x v="5"/>
    <n v="1"/>
    <n v="99000"/>
    <n v="99000"/>
    <d v="2025-01-15T00:00:00"/>
    <s v="Januari"/>
    <s v="Transfer Bank"/>
    <s v="Dibatalkan"/>
  </r>
  <r>
    <n v="10096"/>
    <s v="Wawan Nasution"/>
    <s v="088334843443"/>
    <x v="1"/>
    <x v="4"/>
    <x v="11"/>
    <n v="9"/>
    <n v="75000"/>
    <n v="675000"/>
    <d v="2025-07-10T00:00:00"/>
    <s v="Juli"/>
    <s v="E-Wallet"/>
    <s v="Dibatalkan"/>
  </r>
  <r>
    <n v="10084"/>
    <s v="Erik Simatupang"/>
    <s v="088258313237"/>
    <x v="6"/>
    <x v="0"/>
    <x v="0"/>
    <n v="9"/>
    <n v="150000"/>
    <n v="1350000"/>
    <d v="2025-05-29T00:00:00"/>
    <s v="Mei"/>
    <s v="E-Wallet"/>
    <s v="Diproses"/>
  </r>
  <r>
    <n v="10492"/>
    <s v="Putri Hidayat"/>
    <s v=""/>
    <x v="3"/>
    <x v="1"/>
    <x v="22"/>
    <n v="5"/>
    <n v="250000"/>
    <n v="1250000"/>
    <d v="2025-04-01T00:00:00"/>
    <s v="April"/>
    <s v="Transfer Bank"/>
    <s v="Diproses"/>
  </r>
  <r>
    <n v="10161"/>
    <s v="Andi Setiawan"/>
    <s v="088626765861"/>
    <x v="3"/>
    <x v="3"/>
    <x v="18"/>
    <n v="5"/>
    <n v="25000"/>
    <n v="125000"/>
    <d v="2025-01-01T00:00:00"/>
    <s v="Januari"/>
    <s v="Transfer Bank"/>
    <s v="Dikirim"/>
  </r>
  <r>
    <n v="10532"/>
    <s v="Chandra Simatupang"/>
    <s v="088837744197"/>
    <x v="5"/>
    <x v="4"/>
    <x v="5"/>
    <n v="3"/>
    <n v="35000"/>
    <n v="105000"/>
    <d v="2025-03-12T00:00:00"/>
    <s v="Maret"/>
    <s v="COD"/>
    <s v="Diproses"/>
  </r>
  <r>
    <n v="10069"/>
    <s v="Vina Santoso"/>
    <s v="088466590515"/>
    <x v="3"/>
    <x v="1"/>
    <x v="12"/>
    <n v="9"/>
    <n v="150000"/>
    <n v="1350000"/>
    <d v="2025-11-09T00:00:00"/>
    <s v="November"/>
    <s v="COD"/>
    <s v="Dibatalkan"/>
  </r>
  <r>
    <n v="10217"/>
    <s v="Nita Lestari"/>
    <s v=""/>
    <x v="8"/>
    <x v="3"/>
    <x v="18"/>
    <n v="10"/>
    <n v="150000"/>
    <n v="1500000"/>
    <d v="2025-07-29T00:00:00"/>
    <s v="Juli"/>
    <s v="E-Wallet"/>
    <s v="Diproses"/>
  </r>
  <r>
    <n v="10104"/>
    <s v="Oki Pratama"/>
    <s v="088908740640"/>
    <x v="2"/>
    <x v="3"/>
    <x v="8"/>
    <n v="8"/>
    <n v="15000"/>
    <n v="120000"/>
    <d v="2025-08-21T00:00:00"/>
    <s v="Agustus"/>
    <s v="COD"/>
    <s v="Retur"/>
  </r>
  <r>
    <n v="10064"/>
    <s v="Rian Halim"/>
    <s v="088664160529"/>
    <x v="1"/>
    <x v="3"/>
    <x v="4"/>
    <n v="1"/>
    <n v="120000"/>
    <n v="120000"/>
    <d v="2025-09-02T00:00:00"/>
    <s v="September"/>
    <s v="E-Wallet"/>
    <s v="Retur"/>
  </r>
  <r>
    <n v="10000"/>
    <s v="Vina Pratama"/>
    <s v="08013389083"/>
    <x v="4"/>
    <x v="4"/>
    <x v="6"/>
    <n v="2"/>
    <n v="250000"/>
    <n v="500000"/>
    <d v="2025-10-07T00:00:00"/>
    <s v="Oktober"/>
    <s v="Transfer Bank"/>
    <s v="Retur"/>
  </r>
  <r>
    <n v="10238"/>
    <s v="Gita Marpaung"/>
    <s v="088389448463"/>
    <x v="1"/>
    <x v="4"/>
    <x v="6"/>
    <n v="7"/>
    <n v="99000"/>
    <n v="693000"/>
    <d v="2025-04-23T00:00:00"/>
    <s v="April"/>
    <s v="E-Wallet"/>
    <s v="Selesai"/>
  </r>
  <r>
    <n v="10479"/>
    <s v="Putri Nugroho"/>
    <s v="088305872105"/>
    <x v="5"/>
    <x v="1"/>
    <x v="15"/>
    <n v="10"/>
    <n v="45000"/>
    <n v="450000"/>
    <d v="2025-12-26T00:00:00"/>
    <s v="Desember"/>
    <s v="Transfer Bank"/>
    <s v="Diproses"/>
  </r>
  <r>
    <n v="10305"/>
    <s v="Kiki Kusuma"/>
    <s v="088021962071"/>
    <x v="4"/>
    <x v="1"/>
    <x v="9"/>
    <n v="6"/>
    <n v="150000"/>
    <n v="900000"/>
    <d v="2025-03-26T00:00:00"/>
    <s v="Maret"/>
    <s v="Kartu Kredit"/>
    <s v="Diproses"/>
  </r>
  <r>
    <n v="10313"/>
    <s v="Joko Nugroho"/>
    <s v="08262570165"/>
    <x v="7"/>
    <x v="0"/>
    <x v="13"/>
    <n v="8"/>
    <n v="199000"/>
    <n v="1592000"/>
    <d v="2025-10-26T00:00:00"/>
    <s v="Oktober"/>
    <s v="Transfer Bank"/>
    <s v="Dikirim"/>
  </r>
  <r>
    <n v="10555"/>
    <s v="Rian Marpaung"/>
    <s v="088394353537"/>
    <x v="5"/>
    <x v="3"/>
    <x v="8"/>
    <n v="8"/>
    <n v="250000"/>
    <n v="2000000"/>
    <d v="2025-09-26T00:00:00"/>
    <s v="September"/>
    <s v="QRIS"/>
    <s v="Dikirim"/>
  </r>
  <r>
    <n v="10164"/>
    <s v="Eka Wijaya"/>
    <s v="088417146774"/>
    <x v="7"/>
    <x v="3"/>
    <x v="18"/>
    <n v="10"/>
    <n v="120000"/>
    <n v="1200000"/>
    <d v="2025-04-13T00:00:00"/>
    <s v="April"/>
    <s v="Transfer Bank"/>
    <s v="Selesai"/>
  </r>
  <r>
    <n v="10114"/>
    <s v="Fajar Lestari"/>
    <s v="08312038750"/>
    <x v="8"/>
    <x v="2"/>
    <x v="16"/>
    <n v="9"/>
    <n v="15000"/>
    <n v="135000"/>
    <d v="2025-02-08T00:00:00"/>
    <s v="Februari"/>
    <s v="Transfer Bank"/>
    <s v="Selesai"/>
  </r>
  <r>
    <n v="10184"/>
    <s v="Yani Nasution"/>
    <s v="088811437447"/>
    <x v="3"/>
    <x v="3"/>
    <x v="24"/>
    <n v="2"/>
    <n v="199000"/>
    <n v="398000"/>
    <d v="2025-09-12T00:00:00"/>
    <s v="September"/>
    <s v="Kartu Kredit"/>
    <s v="Diproses"/>
  </r>
  <r>
    <n v="10581"/>
    <s v="Tono Lestari"/>
    <s v="088659994973"/>
    <x v="3"/>
    <x v="4"/>
    <x v="10"/>
    <n v="10"/>
    <n v="25000"/>
    <n v="250000"/>
    <d v="2025-06-03T00:00:00"/>
    <s v="Juni"/>
    <s v="QRIS"/>
    <s v="Retur"/>
  </r>
  <r>
    <n v="10110"/>
    <s v="Vina Kusuma"/>
    <s v=""/>
    <x v="6"/>
    <x v="2"/>
    <x v="2"/>
    <n v="1"/>
    <n v="50000"/>
    <n v="50000"/>
    <d v="2025-07-13T00:00:00"/>
    <s v="Juli"/>
    <s v="QRIS"/>
    <s v="Retur"/>
  </r>
  <r>
    <n v="10528"/>
    <s v="Dewi Lestari"/>
    <s v="088670806129"/>
    <x v="8"/>
    <x v="0"/>
    <x v="7"/>
    <n v="6"/>
    <n v="120000"/>
    <n v="720000"/>
    <d v="2025-07-01T00:00:00"/>
    <s v="Juli"/>
    <s v="Kartu Kredit"/>
    <s v="Dikirim"/>
  </r>
  <r>
    <n v="10002"/>
    <s v="Citra Rahayu"/>
    <s v="088164752553"/>
    <x v="6"/>
    <x v="4"/>
    <x v="5"/>
    <n v="1"/>
    <n v="250000"/>
    <n v="250000"/>
    <d v="2025-04-27T00:00:00"/>
    <s v="April"/>
    <s v="E-Wallet"/>
    <s v="Selesai"/>
  </r>
  <r>
    <n v="10254"/>
    <s v="Oki Kusuma"/>
    <s v="088864168622"/>
    <x v="1"/>
    <x v="1"/>
    <x v="9"/>
    <n v="3"/>
    <n v="75000"/>
    <n v="225000"/>
    <d v="2025-02-12T00:00:00"/>
    <s v="Februari"/>
    <s v="Kartu Kredit"/>
    <s v="Retur"/>
  </r>
  <r>
    <n v="10393"/>
    <s v="Andi Nugroho"/>
    <s v="088750479303"/>
    <x v="4"/>
    <x v="0"/>
    <x v="13"/>
    <n v="2"/>
    <n v="199000"/>
    <n v="398000"/>
    <d v="2025-11-17T00:00:00"/>
    <s v="November"/>
    <s v="E-Wallet"/>
    <s v="Diproses"/>
  </r>
  <r>
    <n v="10357"/>
    <s v="Erik Simatupang"/>
    <s v="088745644948"/>
    <x v="5"/>
    <x v="2"/>
    <x v="14"/>
    <n v="3"/>
    <n v="50000"/>
    <n v="150000"/>
    <d v="2025-03-01T00:00:00"/>
    <s v="Maret"/>
    <s v="E-Wallet"/>
    <s v="Selesai"/>
  </r>
  <r>
    <n v="10153"/>
    <s v="Dewi Saputra"/>
    <s v="088101372151"/>
    <x v="3"/>
    <x v="4"/>
    <x v="11"/>
    <n v="6"/>
    <n v="250000"/>
    <n v="1500000"/>
    <d v="2025-11-19T00:00:00"/>
    <s v="November"/>
    <s v="Transfer Bank"/>
    <s v="Retur"/>
  </r>
  <r>
    <n v="10055"/>
    <s v="Citra Hidayat"/>
    <s v="088210205395"/>
    <x v="3"/>
    <x v="0"/>
    <x v="13"/>
    <n v="10"/>
    <n v="15000"/>
    <n v="150000"/>
    <d v="2025-05-22T00:00:00"/>
    <s v="Mei"/>
    <s v="COD"/>
    <s v="Diproses"/>
  </r>
  <r>
    <n v="10319"/>
    <s v="Oki Santoso"/>
    <s v="08059274523"/>
    <x v="9"/>
    <x v="2"/>
    <x v="20"/>
    <n v="3"/>
    <n v="35000"/>
    <n v="105000"/>
    <d v="2025-12-29T00:00:00"/>
    <s v="Desember"/>
    <s v="COD"/>
    <s v="Diproses"/>
  </r>
  <r>
    <n v="10258"/>
    <s v="Fajar Wijaya"/>
    <s v="088451046368"/>
    <x v="3"/>
    <x v="2"/>
    <x v="20"/>
    <n v="1"/>
    <n v="120000"/>
    <n v="120000"/>
    <d v="2025-02-12T00:00:00"/>
    <s v="Februari"/>
    <s v="Transfer Bank"/>
    <s v="Selesai"/>
  </r>
  <r>
    <n v="10396"/>
    <s v="Kiki Saputra"/>
    <s v="088325411076"/>
    <x v="3"/>
    <x v="3"/>
    <x v="8"/>
    <n v="1"/>
    <n v="45000"/>
    <n v="45000"/>
    <d v="2025-12-20T00:00:00"/>
    <s v="Desember"/>
    <s v="Kartu Kredit"/>
    <s v="Selesai"/>
  </r>
  <r>
    <n v="10205"/>
    <s v="Fajar Nugroho"/>
    <s v=""/>
    <x v="4"/>
    <x v="3"/>
    <x v="19"/>
    <n v="10"/>
    <n v="15000"/>
    <n v="150000"/>
    <d v="2025-09-10T00:00:00"/>
    <s v="September"/>
    <s v="Kartu Kredit"/>
    <s v="Retur"/>
  </r>
  <r>
    <n v="10121"/>
    <s v="Lina Kusuma"/>
    <s v="088398262244"/>
    <x v="2"/>
    <x v="1"/>
    <x v="1"/>
    <n v="5"/>
    <n v="99000"/>
    <n v="495000"/>
    <d v="2025-07-18T00:00:00"/>
    <s v="Juli"/>
    <s v="Transfer Bank"/>
    <s v="Retur"/>
  </r>
  <r>
    <n v="10021"/>
    <s v="Tono Rahayu"/>
    <s v="088738721489"/>
    <x v="0"/>
    <x v="0"/>
    <x v="17"/>
    <n v="4"/>
    <n v="99000"/>
    <n v="396000"/>
    <d v="2025-10-24T00:00:00"/>
    <s v="Oktober"/>
    <s v="QRIS"/>
    <s v="Dibatalkan"/>
  </r>
  <r>
    <n v="10330"/>
    <s v="Fajar Rahayu"/>
    <s v="088611076031"/>
    <x v="5"/>
    <x v="4"/>
    <x v="6"/>
    <n v="4"/>
    <n v="50000"/>
    <n v="200000"/>
    <d v="2025-03-06T00:00:00"/>
    <s v="Maret"/>
    <s v="COD"/>
    <s v="Diproses"/>
  </r>
  <r>
    <n v="10029"/>
    <s v="Dewi Saputra"/>
    <s v="088491905865"/>
    <x v="2"/>
    <x v="1"/>
    <x v="12"/>
    <n v="4"/>
    <n v="25000"/>
    <n v="100000"/>
    <d v="2025-10-31T00:00:00"/>
    <s v="Oktober"/>
    <s v="COD"/>
    <s v="Selesai"/>
  </r>
  <r>
    <n v="10564"/>
    <s v="Kiki Santoso"/>
    <s v="088853800329"/>
    <x v="6"/>
    <x v="1"/>
    <x v="15"/>
    <n v="2"/>
    <n v="75000"/>
    <n v="150000"/>
    <d v="2025-01-20T00:00:00"/>
    <s v="Januari"/>
    <s v="Kartu Kredit"/>
    <s v="Selesai"/>
  </r>
  <r>
    <n v="10262"/>
    <s v="Zaki Saputra"/>
    <s v="088994999393"/>
    <x v="1"/>
    <x v="0"/>
    <x v="21"/>
    <n v="5"/>
    <n v="35000"/>
    <n v="175000"/>
    <d v="2025-07-04T00:00:00"/>
    <s v="Juli"/>
    <s v="Transfer Bank"/>
    <s v="Diproses"/>
  </r>
  <r>
    <n v="10521"/>
    <s v="Erik Kusuma"/>
    <s v="088094388221"/>
    <x v="7"/>
    <x v="0"/>
    <x v="21"/>
    <n v="10"/>
    <n v="15000"/>
    <n v="150000"/>
    <d v="2025-08-09T00:00:00"/>
    <s v="Agustus"/>
    <s v="COD"/>
    <s v="Dikirim"/>
  </r>
  <r>
    <n v="10324"/>
    <s v="Gita Rahayu"/>
    <s v="088879232648"/>
    <x v="0"/>
    <x v="3"/>
    <x v="8"/>
    <n v="7"/>
    <n v="25000"/>
    <n v="175000"/>
    <d v="2025-04-01T00:00:00"/>
    <s v="April"/>
    <s v="Kartu Kredit"/>
    <s v="Dibatalkan"/>
  </r>
  <r>
    <n v="10389"/>
    <s v="Nita Simatupang"/>
    <s v="088870079420"/>
    <x v="0"/>
    <x v="4"/>
    <x v="10"/>
    <n v="9"/>
    <n v="35000"/>
    <n v="315000"/>
    <d v="2025-05-06T00:00:00"/>
    <s v="Mei"/>
    <s v="QRIS"/>
    <s v="Dikirim"/>
  </r>
  <r>
    <n v="10200"/>
    <s v="Putri Saputra"/>
    <s v="08164840858"/>
    <x v="6"/>
    <x v="4"/>
    <x v="23"/>
    <n v="10"/>
    <n v="45000"/>
    <n v="450000"/>
    <d v="2025-01-21T00:00:00"/>
    <s v="Januari"/>
    <s v="E-Wallet"/>
    <s v="Dikirim"/>
  </r>
  <r>
    <n v="10137"/>
    <s v="Eka Nasution"/>
    <s v=""/>
    <x v="7"/>
    <x v="3"/>
    <x v="4"/>
    <n v="1"/>
    <n v="25000"/>
    <n v="25000"/>
    <d v="2025-03-22T00:00:00"/>
    <s v="Maret"/>
    <s v="Kartu Kredit"/>
    <s v="Dikirim"/>
  </r>
  <r>
    <n v="10025"/>
    <s v="Kiki Simatupang"/>
    <s v=""/>
    <x v="7"/>
    <x v="1"/>
    <x v="12"/>
    <n v="10"/>
    <n v="15000"/>
    <n v="150000"/>
    <d v="2025-10-22T00:00:00"/>
    <s v="Oktober"/>
    <s v="Kartu Kredit"/>
    <s v="Dikirim"/>
  </r>
  <r>
    <n v="10118"/>
    <s v="Ahmad Siregar"/>
    <s v="088218501631"/>
    <x v="4"/>
    <x v="2"/>
    <x v="2"/>
    <n v="10"/>
    <n v="99000"/>
    <n v="990000"/>
    <d v="2025-12-13T00:00:00"/>
    <s v="Desember"/>
    <s v="QRIS"/>
    <s v="Dibatalkan"/>
  </r>
  <r>
    <n v="10439"/>
    <s v="Putri Nugroho"/>
    <s v="088347128715"/>
    <x v="3"/>
    <x v="3"/>
    <x v="24"/>
    <n v="7"/>
    <n v="15000"/>
    <n v="105000"/>
    <d v="2025-03-24T00:00:00"/>
    <s v="Maret"/>
    <s v="E-Wallet"/>
    <s v="Dikirim"/>
  </r>
  <r>
    <n v="10183"/>
    <s v="Umi Lestari"/>
    <s v="088483564208"/>
    <x v="5"/>
    <x v="2"/>
    <x v="16"/>
    <n v="5"/>
    <n v="25000"/>
    <n v="125000"/>
    <d v="2025-02-24T00:00:00"/>
    <s v="Februari"/>
    <s v="Kartu Kredit"/>
    <s v="Diproses"/>
  </r>
  <r>
    <n v="10314"/>
    <s v="Joko Marpaung"/>
    <s v="088501657905"/>
    <x v="2"/>
    <x v="2"/>
    <x v="2"/>
    <n v="2"/>
    <n v="199000"/>
    <n v="398000"/>
    <d v="2025-06-21T00:00:00"/>
    <s v="Juni"/>
    <s v="Transfer Bank"/>
    <s v="Retur"/>
  </r>
  <r>
    <n v="10242"/>
    <s v="Putri Rahayu"/>
    <s v="08491630097"/>
    <x v="6"/>
    <x v="4"/>
    <x v="5"/>
    <n v="4"/>
    <n v="250000"/>
    <n v="1000000"/>
    <d v="2025-08-11T00:00:00"/>
    <s v="Agustus"/>
    <s v="E-Wallet"/>
    <s v="Selesai"/>
  </r>
  <r>
    <n v="10437"/>
    <s v="Dian Setiawan"/>
    <s v="088505057397"/>
    <x v="6"/>
    <x v="2"/>
    <x v="14"/>
    <n v="9"/>
    <n v="99000"/>
    <n v="891000"/>
    <d v="2025-12-05T00:00:00"/>
    <s v="Desember"/>
    <s v="COD"/>
    <s v="Selesai"/>
  </r>
  <r>
    <n v="10368"/>
    <s v="Erik Lestari"/>
    <s v="08605016679"/>
    <x v="8"/>
    <x v="3"/>
    <x v="4"/>
    <n v="10"/>
    <n v="45000"/>
    <n v="450000"/>
    <d v="2025-04-14T00:00:00"/>
    <s v="April"/>
    <s v="E-Wallet"/>
    <s v="Retur"/>
  </r>
  <r>
    <n v="10579"/>
    <s v="Eka Nasution"/>
    <s v=""/>
    <x v="7"/>
    <x v="4"/>
    <x v="6"/>
    <n v="2"/>
    <n v="150000"/>
    <n v="300000"/>
    <d v="2025-08-23T00:00:00"/>
    <s v="Agustus"/>
    <s v="E-Wallet"/>
    <s v="Selesai"/>
  </r>
  <r>
    <n v="10077"/>
    <s v="Yani Lestari"/>
    <s v="088518888806"/>
    <x v="1"/>
    <x v="2"/>
    <x v="20"/>
    <n v="4"/>
    <n v="199000"/>
    <n v="796000"/>
    <d v="2025-02-08T00:00:00"/>
    <s v="Februari"/>
    <s v="COD"/>
    <s v="Selesai"/>
  </r>
  <r>
    <n v="10565"/>
    <s v="Wawan Hidayat"/>
    <s v="088306178932"/>
    <x v="8"/>
    <x v="1"/>
    <x v="9"/>
    <n v="8"/>
    <n v="50000"/>
    <n v="400000"/>
    <d v="2025-03-09T00:00:00"/>
    <s v="Maret"/>
    <s v="COD"/>
    <s v="Selesai"/>
  </r>
  <r>
    <n v="10592"/>
    <s v="Oki Setiawan"/>
    <s v="088905150267"/>
    <x v="5"/>
    <x v="4"/>
    <x v="11"/>
    <n v="3"/>
    <n v="120000"/>
    <n v="360000"/>
    <d v="2025-10-28T00:00:00"/>
    <s v="Oktober"/>
    <s v="E-Wallet"/>
    <s v="Dibatalkan"/>
  </r>
  <r>
    <n v="10300"/>
    <s v="Fitri Wijaya"/>
    <s v="088183067198"/>
    <x v="4"/>
    <x v="0"/>
    <x v="21"/>
    <n v="10"/>
    <n v="15000"/>
    <n v="150000"/>
    <d v="2025-09-21T00:00:00"/>
    <s v="September"/>
    <s v="Kartu Kredit"/>
    <s v="Dikirim"/>
  </r>
  <r>
    <n v="10553"/>
    <s v="Dewi Kusuma"/>
    <s v="088595565749"/>
    <x v="3"/>
    <x v="2"/>
    <x v="20"/>
    <n v="7"/>
    <n v="25000"/>
    <n v="175000"/>
    <d v="2025-11-25T00:00:00"/>
    <s v="November"/>
    <s v="Kartu Kredit"/>
    <s v="Dibatalkan"/>
  </r>
  <r>
    <n v="10362"/>
    <s v="Andi Hidayat"/>
    <s v="088925158377"/>
    <x v="1"/>
    <x v="0"/>
    <x v="13"/>
    <n v="2"/>
    <n v="50000"/>
    <n v="100000"/>
    <d v="2025-09-09T00:00:00"/>
    <s v="September"/>
    <s v="Kartu Kredit"/>
    <s v="Dibatalkan"/>
  </r>
  <r>
    <n v="10048"/>
    <s v="Fajar Kusuma"/>
    <s v="088074821759"/>
    <x v="1"/>
    <x v="4"/>
    <x v="11"/>
    <n v="10"/>
    <n v="35000"/>
    <n v="350000"/>
    <d v="2025-04-29T00:00:00"/>
    <s v="April"/>
    <s v="Kartu Kredit"/>
    <s v="Dibatalkan"/>
  </r>
  <r>
    <n v="10539"/>
    <s v="Dian Lestari"/>
    <s v="088730985034"/>
    <x v="8"/>
    <x v="1"/>
    <x v="1"/>
    <n v="10"/>
    <n v="25000"/>
    <n v="250000"/>
    <d v="2025-03-07T00:00:00"/>
    <s v="Maret"/>
    <s v="QRIS"/>
    <s v="Dibatalkan"/>
  </r>
  <r>
    <n v="10491"/>
    <s v="Kiki Kusuma"/>
    <s v="088723590960"/>
    <x v="6"/>
    <x v="1"/>
    <x v="9"/>
    <n v="8"/>
    <n v="25000"/>
    <n v="200000"/>
    <d v="2025-05-23T00:00:00"/>
    <s v="Mei"/>
    <s v="Kartu Kredit"/>
    <s v="Selesai"/>
  </r>
  <r>
    <n v="10141"/>
    <s v="Vina Kusuma"/>
    <s v="088836403761"/>
    <x v="0"/>
    <x v="2"/>
    <x v="3"/>
    <n v="5"/>
    <n v="15000"/>
    <n v="75000"/>
    <d v="2025-12-04T00:00:00"/>
    <s v="Desember"/>
    <s v="E-Wallet"/>
    <s v="Diproses"/>
  </r>
  <r>
    <n v="10068"/>
    <s v="Citra Kusuma"/>
    <s v="088597820715"/>
    <x v="2"/>
    <x v="1"/>
    <x v="12"/>
    <n v="10"/>
    <n v="150000"/>
    <n v="1500000"/>
    <d v="2025-01-22T00:00:00"/>
    <s v="Januari"/>
    <s v="Kartu Kredit"/>
    <s v="Retur"/>
  </r>
  <r>
    <n v="10453"/>
    <s v="Hadi Siregar"/>
    <s v="088484910256"/>
    <x v="5"/>
    <x v="2"/>
    <x v="20"/>
    <n v="10"/>
    <n v="120000"/>
    <n v="1200000"/>
    <d v="2025-02-18T00:00:00"/>
    <s v="Februari"/>
    <s v="QRIS"/>
    <s v="Dibatalkan"/>
  </r>
  <r>
    <n v="10010"/>
    <s v="Nita Marpaung"/>
    <s v="08726247317"/>
    <x v="7"/>
    <x v="3"/>
    <x v="24"/>
    <n v="7"/>
    <n v="75000"/>
    <n v="525000"/>
    <d v="2025-02-25T00:00:00"/>
    <s v="Februari"/>
    <s v="COD"/>
    <s v="Diproses"/>
  </r>
  <r>
    <n v="10045"/>
    <s v="Sari Siregar"/>
    <s v="088662702895"/>
    <x v="6"/>
    <x v="4"/>
    <x v="23"/>
    <n v="7"/>
    <n v="45000"/>
    <n v="315000"/>
    <d v="2025-07-30T00:00:00"/>
    <s v="Juli"/>
    <s v="Transfer Bank"/>
    <s v="Dibatalkan"/>
  </r>
  <r>
    <n v="10304"/>
    <s v="Oki Santoso"/>
    <s v="08651982530"/>
    <x v="5"/>
    <x v="3"/>
    <x v="4"/>
    <n v="10"/>
    <n v="199000"/>
    <n v="1990000"/>
    <d v="2025-04-23T00:00:00"/>
    <s v="April"/>
    <s v="Transfer Bank"/>
    <s v="Diproses"/>
  </r>
  <r>
    <n v="10286"/>
    <s v="Dewi Rahayu"/>
    <s v="088272386562"/>
    <x v="3"/>
    <x v="2"/>
    <x v="14"/>
    <n v="6"/>
    <n v="99000"/>
    <n v="594000"/>
    <d v="2025-07-27T00:00:00"/>
    <s v="Juli"/>
    <s v="Kartu Kredit"/>
    <s v="Dikirim"/>
  </r>
  <r>
    <n v="10058"/>
    <s v="Dewi Pratama"/>
    <s v="088565452711"/>
    <x v="3"/>
    <x v="1"/>
    <x v="9"/>
    <n v="7"/>
    <n v="75000"/>
    <n v="525000"/>
    <d v="2025-08-21T00:00:00"/>
    <s v="Agustus"/>
    <s v="Kartu Kredit"/>
    <s v="Dikirim"/>
  </r>
  <r>
    <n v="10574"/>
    <s v="Hadi Saputra"/>
    <s v="088118237931"/>
    <x v="3"/>
    <x v="0"/>
    <x v="21"/>
    <n v="10"/>
    <n v="25000"/>
    <n v="250000"/>
    <d v="2025-11-26T00:00:00"/>
    <s v="November"/>
    <s v="E-Wallet"/>
    <s v="Dibatalkan"/>
  </r>
  <r>
    <n v="10440"/>
    <s v="Ahmad Kusuma"/>
    <s v="088115931952"/>
    <x v="1"/>
    <x v="1"/>
    <x v="15"/>
    <n v="7"/>
    <n v="45000"/>
    <n v="315000"/>
    <d v="2025-04-25T00:00:00"/>
    <s v="April"/>
    <s v="E-Wallet"/>
    <s v="Selesai"/>
  </r>
  <r>
    <n v="10465"/>
    <s v="Fajar Wijaya"/>
    <s v="088475541108"/>
    <x v="7"/>
    <x v="0"/>
    <x v="13"/>
    <n v="5"/>
    <n v="120000"/>
    <n v="600000"/>
    <d v="2025-05-24T00:00:00"/>
    <s v="Mei"/>
    <s v="QRIS"/>
    <s v="Selesai"/>
  </r>
  <r>
    <n v="10239"/>
    <s v="Eka Rahayu"/>
    <s v="088802144270"/>
    <x v="8"/>
    <x v="1"/>
    <x v="22"/>
    <n v="10"/>
    <n v="120000"/>
    <n v="1200000"/>
    <d v="2025-07-04T00:00:00"/>
    <s v="Juli"/>
    <s v="E-Wallet"/>
    <s v="Selesai"/>
  </r>
  <r>
    <n v="10509"/>
    <s v="Tono Marpaung"/>
    <s v="088172959639"/>
    <x v="6"/>
    <x v="4"/>
    <x v="6"/>
    <n v="1"/>
    <n v="120000"/>
    <n v="120000"/>
    <d v="2025-09-13T00:00:00"/>
    <s v="September"/>
    <s v="Transfer Bank"/>
    <s v="Dibatalkan"/>
  </r>
  <r>
    <n v="10329"/>
    <s v="Eka Nugroho"/>
    <s v="08207545279"/>
    <x v="0"/>
    <x v="2"/>
    <x v="3"/>
    <n v="9"/>
    <n v="25000"/>
    <n v="225000"/>
    <d v="2025-02-08T00:00:00"/>
    <s v="Februari"/>
    <s v="Kartu Kredit"/>
    <s v="Selesai"/>
  </r>
  <r>
    <n v="10471"/>
    <s v="Joko Gunawan"/>
    <s v="088649837354"/>
    <x v="7"/>
    <x v="4"/>
    <x v="10"/>
    <n v="3"/>
    <n v="50000"/>
    <n v="150000"/>
    <d v="2025-01-09T00:00:00"/>
    <s v="Januari"/>
    <s v="QRIS"/>
    <s v="Retur"/>
  </r>
  <r>
    <n v="10537"/>
    <s v="Oki Halim"/>
    <s v="088477433268"/>
    <x v="7"/>
    <x v="0"/>
    <x v="0"/>
    <n v="8"/>
    <n v="99000"/>
    <n v="792000"/>
    <d v="2025-10-03T00:00:00"/>
    <s v="Oktober"/>
    <s v="QRIS"/>
    <s v="Retur"/>
  </r>
  <r>
    <n v="10062"/>
    <s v="Eka Santoso"/>
    <s v="088438156149"/>
    <x v="7"/>
    <x v="3"/>
    <x v="18"/>
    <n v="8"/>
    <n v="250000"/>
    <n v="2000000"/>
    <d v="2025-08-06T00:00:00"/>
    <s v="Agustus"/>
    <s v="Kartu Kredit"/>
    <s v="Retur"/>
  </r>
  <r>
    <n v="10402"/>
    <s v="Yani Gunawan"/>
    <s v="088073033793"/>
    <x v="2"/>
    <x v="2"/>
    <x v="20"/>
    <n v="7"/>
    <n v="75000"/>
    <n v="525000"/>
    <d v="2025-03-25T00:00:00"/>
    <s v="Maret"/>
    <s v="Transfer Bank"/>
    <s v="Dikirim"/>
  </r>
  <r>
    <n v="10145"/>
    <s v="Fajar Halim"/>
    <s v="088917785079"/>
    <x v="4"/>
    <x v="3"/>
    <x v="24"/>
    <n v="6"/>
    <n v="99000"/>
    <n v="594000"/>
    <d v="2025-05-20T00:00:00"/>
    <s v="Mei"/>
    <s v="QRIS"/>
    <s v="Selesai"/>
  </r>
  <r>
    <n v="10228"/>
    <s v="Rian Marpaung"/>
    <s v="088750036915"/>
    <x v="0"/>
    <x v="2"/>
    <x v="20"/>
    <n v="7"/>
    <n v="250000"/>
    <n v="1750000"/>
    <d v="2025-03-31T00:00:00"/>
    <s v="Maret"/>
    <s v="Kartu Kredit"/>
    <s v="Selesai"/>
  </r>
  <r>
    <n v="10028"/>
    <s v="Hadi Kusuma"/>
    <s v="088937452991"/>
    <x v="7"/>
    <x v="4"/>
    <x v="5"/>
    <n v="10"/>
    <n v="35000"/>
    <n v="350000"/>
    <d v="2025-03-05T00:00:00"/>
    <s v="Maret"/>
    <s v="COD"/>
    <s v="Dikirim"/>
  </r>
  <r>
    <n v="10138"/>
    <s v="Gita Lestari"/>
    <s v="088436110371"/>
    <x v="9"/>
    <x v="3"/>
    <x v="18"/>
    <n v="5"/>
    <n v="25000"/>
    <n v="125000"/>
    <d v="2025-07-10T00:00:00"/>
    <s v="Juli"/>
    <s v="COD"/>
    <s v="Selesai"/>
  </r>
  <r>
    <n v="10034"/>
    <s v="Joko Pratama"/>
    <s v="088084271094"/>
    <x v="4"/>
    <x v="0"/>
    <x v="13"/>
    <n v="5"/>
    <n v="15000"/>
    <n v="75000"/>
    <d v="2025-12-29T00:00:00"/>
    <s v="Desember"/>
    <s v="QRIS"/>
    <s v="Diproses"/>
  </r>
  <r>
    <n v="10259"/>
    <s v="Putri Kusuma"/>
    <s v="088620555438"/>
    <x v="3"/>
    <x v="1"/>
    <x v="15"/>
    <n v="1"/>
    <n v="15000"/>
    <n v="15000"/>
    <d v="2025-07-05T00:00:00"/>
    <s v="Juli"/>
    <s v="QRIS"/>
    <s v="Dibatalkan"/>
  </r>
  <r>
    <n v="10352"/>
    <s v="Rian Lestari"/>
    <s v="088316526693"/>
    <x v="1"/>
    <x v="1"/>
    <x v="12"/>
    <n v="3"/>
    <n v="50000"/>
    <n v="150000"/>
    <d v="2025-03-30T00:00:00"/>
    <s v="Maret"/>
    <s v="QRIS"/>
    <s v="Dibatalkan"/>
  </r>
  <r>
    <n v="10575"/>
    <s v="Umi Nasution"/>
    <s v=""/>
    <x v="2"/>
    <x v="3"/>
    <x v="4"/>
    <n v="5"/>
    <n v="99000"/>
    <n v="495000"/>
    <d v="2025-06-09T00:00:00"/>
    <s v="Juni"/>
    <s v="E-Wallet"/>
    <s v="Diproses"/>
  </r>
  <r>
    <n v="10376"/>
    <s v="Joko Marpaung"/>
    <s v="088738997563"/>
    <x v="0"/>
    <x v="0"/>
    <x v="17"/>
    <n v="1"/>
    <n v="50000"/>
    <n v="50000"/>
    <d v="2025-09-28T00:00:00"/>
    <s v="September"/>
    <s v="QRIS"/>
    <s v="Diproses"/>
  </r>
  <r>
    <n v="10451"/>
    <s v="Indah Marpaung"/>
    <s v="088256609314"/>
    <x v="0"/>
    <x v="3"/>
    <x v="18"/>
    <n v="4"/>
    <n v="75000"/>
    <n v="300000"/>
    <d v="2025-10-16T00:00:00"/>
    <s v="Oktober"/>
    <s v="QRIS"/>
    <s v="Retur"/>
  </r>
  <r>
    <n v="10302"/>
    <s v="Erik Simatupang"/>
    <s v="088478700505"/>
    <x v="9"/>
    <x v="4"/>
    <x v="5"/>
    <n v="10"/>
    <n v="45000"/>
    <n v="450000"/>
    <d v="2025-09-08T00:00:00"/>
    <s v="September"/>
    <s v="Kartu Kredit"/>
    <s v="Selesai"/>
  </r>
  <r>
    <n v="10273"/>
    <s v="Oki Pratama"/>
    <s v="088441448850"/>
    <x v="2"/>
    <x v="1"/>
    <x v="1"/>
    <n v="6"/>
    <n v="75000"/>
    <n v="450000"/>
    <d v="2025-10-14T00:00:00"/>
    <s v="Oktober"/>
    <s v="COD"/>
    <s v="Selesai"/>
  </r>
  <r>
    <n v="10315"/>
    <s v="Vina Kusuma"/>
    <s v="088335548640"/>
    <x v="3"/>
    <x v="0"/>
    <x v="13"/>
    <n v="9"/>
    <n v="25000"/>
    <n v="225000"/>
    <d v="2025-11-29T00:00:00"/>
    <s v="November"/>
    <s v="Kartu Kredit"/>
    <s v="Retur"/>
  </r>
  <r>
    <n v="10337"/>
    <s v="Wawan Gunawan"/>
    <s v="088778485880"/>
    <x v="4"/>
    <x v="2"/>
    <x v="16"/>
    <n v="2"/>
    <n v="250000"/>
    <n v="500000"/>
    <d v="2025-09-24T00:00:00"/>
    <s v="September"/>
    <s v="Kartu Kredit"/>
    <s v="Dikirim"/>
  </r>
  <r>
    <n v="10426"/>
    <s v="Budi Nugroho"/>
    <s v="08130232129"/>
    <x v="2"/>
    <x v="2"/>
    <x v="20"/>
    <n v="3"/>
    <n v="120000"/>
    <n v="360000"/>
    <d v="2025-11-19T00:00:00"/>
    <s v="November"/>
    <s v="Transfer Bank"/>
    <s v="Selesai"/>
  </r>
  <r>
    <n v="10255"/>
    <s v="Gita Nasution"/>
    <s v="088591166553"/>
    <x v="2"/>
    <x v="2"/>
    <x v="3"/>
    <n v="9"/>
    <n v="45000"/>
    <n v="405000"/>
    <d v="2025-05-05T00:00:00"/>
    <s v="Mei"/>
    <s v="Transfer Bank"/>
    <s v="Dibatalkan"/>
  </r>
  <r>
    <n v="10525"/>
    <s v="Umi Santoso"/>
    <s v="088107406500"/>
    <x v="8"/>
    <x v="3"/>
    <x v="18"/>
    <n v="1"/>
    <n v="120000"/>
    <n v="120000"/>
    <d v="2025-01-21T00:00:00"/>
    <s v="Januari"/>
    <s v="COD"/>
    <s v="Dibatalkan"/>
  </r>
  <r>
    <n v="10100"/>
    <s v="Joko Pratama"/>
    <s v="08152742054"/>
    <x v="4"/>
    <x v="2"/>
    <x v="3"/>
    <n v="8"/>
    <n v="35000"/>
    <n v="280000"/>
    <d v="2025-09-16T00:00:00"/>
    <s v="September"/>
    <s v="Kartu Kredit"/>
    <s v="Dibatalkan"/>
  </r>
  <r>
    <n v="10392"/>
    <s v="Sari Nasution"/>
    <s v="088695620175"/>
    <x v="0"/>
    <x v="3"/>
    <x v="8"/>
    <n v="1"/>
    <n v="250000"/>
    <n v="250000"/>
    <d v="2025-08-16T00:00:00"/>
    <s v="Agustus"/>
    <s v="Transfer Bank"/>
    <s v="Dibatalkan"/>
  </r>
  <r>
    <n v="10142"/>
    <s v="Vina Kusuma"/>
    <s v="088710910430"/>
    <x v="7"/>
    <x v="0"/>
    <x v="13"/>
    <n v="7"/>
    <n v="199000"/>
    <n v="1393000"/>
    <d v="2025-08-04T00:00:00"/>
    <s v="Agustus"/>
    <s v="E-Wallet"/>
    <s v="Retur"/>
  </r>
  <r>
    <n v="10076"/>
    <s v="Chandra Lestari"/>
    <s v="08971179808"/>
    <x v="2"/>
    <x v="1"/>
    <x v="1"/>
    <n v="5"/>
    <n v="45000"/>
    <n v="225000"/>
    <d v="2025-06-04T00:00:00"/>
    <s v="Juni"/>
    <s v="Transfer Bank"/>
    <s v="Selesai"/>
  </r>
  <r>
    <n v="10476"/>
    <s v="Putri Santoso"/>
    <s v="088109226859"/>
    <x v="3"/>
    <x v="0"/>
    <x v="17"/>
    <n v="2"/>
    <n v="199000"/>
    <n v="398000"/>
    <d v="2025-06-20T00:00:00"/>
    <s v="Juni"/>
    <s v="Transfer Bank"/>
    <s v="Dibatalkan"/>
  </r>
  <r>
    <n v="10429"/>
    <s v="Joko Siregar"/>
    <s v=""/>
    <x v="2"/>
    <x v="3"/>
    <x v="18"/>
    <n v="3"/>
    <n v="120000"/>
    <n v="360000"/>
    <d v="2025-04-11T00:00:00"/>
    <s v="April"/>
    <s v="COD"/>
    <s v="Diproses"/>
  </r>
  <r>
    <n v="10158"/>
    <s v="Budi Nugroho"/>
    <s v="088250029218"/>
    <x v="3"/>
    <x v="2"/>
    <x v="14"/>
    <n v="1"/>
    <n v="75000"/>
    <n v="75000"/>
    <d v="2025-11-11T00:00:00"/>
    <s v="November"/>
    <s v="COD"/>
    <s v="Diproses"/>
  </r>
  <r>
    <n v="10115"/>
    <s v="Fitri Nasution"/>
    <s v="088408621182"/>
    <x v="7"/>
    <x v="2"/>
    <x v="3"/>
    <n v="7"/>
    <n v="15000"/>
    <n v="105000"/>
    <d v="2025-01-09T00:00:00"/>
    <s v="Januari"/>
    <s v="QRIS"/>
    <s v="Dibatalkan"/>
  </r>
  <r>
    <n v="10345"/>
    <s v="Indah Rahayu"/>
    <s v=""/>
    <x v="4"/>
    <x v="2"/>
    <x v="2"/>
    <n v="7"/>
    <n v="45000"/>
    <n v="315000"/>
    <d v="2025-02-28T00:00:00"/>
    <s v="Februari"/>
    <s v="COD"/>
    <s v="Diproses"/>
  </r>
  <r>
    <n v="10431"/>
    <s v="Vina Halim"/>
    <s v="088724399201"/>
    <x v="1"/>
    <x v="4"/>
    <x v="6"/>
    <n v="8"/>
    <n v="15000"/>
    <n v="120000"/>
    <d v="2025-07-05T00:00:00"/>
    <s v="Juli"/>
    <s v="Transfer Bank"/>
    <s v="Diproses"/>
  </r>
  <r>
    <n v="10007"/>
    <s v="Budi Nugroho"/>
    <s v="088896383465"/>
    <x v="5"/>
    <x v="1"/>
    <x v="1"/>
    <n v="9"/>
    <n v="35000"/>
    <n v="315000"/>
    <d v="2025-03-07T00:00:00"/>
    <s v="Maret"/>
    <s v="Kartu Kredit"/>
    <s v="Retur"/>
  </r>
  <r>
    <n v="10194"/>
    <s v="Fitri Nugroho"/>
    <s v="088858333945"/>
    <x v="1"/>
    <x v="0"/>
    <x v="21"/>
    <n v="3"/>
    <n v="35000"/>
    <n v="105000"/>
    <d v="2025-07-31T00:00:00"/>
    <s v="Juli"/>
    <s v="QRIS"/>
    <s v="Retur"/>
  </r>
  <r>
    <n v="10356"/>
    <s v="Putri Halim"/>
    <s v="088528092428"/>
    <x v="2"/>
    <x v="3"/>
    <x v="24"/>
    <n v="5"/>
    <n v="150000"/>
    <n v="750000"/>
    <d v="2025-11-14T00:00:00"/>
    <s v="November"/>
    <s v="Kartu Kredit"/>
    <s v="Dibatalkan"/>
  </r>
  <r>
    <n v="10438"/>
    <s v="Bella Kusuma"/>
    <s v="088802714872"/>
    <x v="1"/>
    <x v="3"/>
    <x v="4"/>
    <n v="5"/>
    <n v="199000"/>
    <n v="995000"/>
    <d v="2025-10-04T00:00:00"/>
    <s v="Oktober"/>
    <s v="COD"/>
    <s v="Retur"/>
  </r>
  <r>
    <n v="10535"/>
    <s v="Putri Santoso"/>
    <s v="088610023117"/>
    <x v="0"/>
    <x v="2"/>
    <x v="20"/>
    <n v="3"/>
    <n v="75000"/>
    <n v="225000"/>
    <d v="2025-10-29T00:00:00"/>
    <s v="Oktober"/>
    <s v="QRIS"/>
    <s v="Dibatalkan"/>
  </r>
  <r>
    <n v="10268"/>
    <s v="Fajar Wijaya"/>
    <s v="088407778097"/>
    <x v="4"/>
    <x v="1"/>
    <x v="22"/>
    <n v="3"/>
    <n v="25000"/>
    <n v="75000"/>
    <d v="2025-03-09T00:00:00"/>
    <s v="Maret"/>
    <s v="COD"/>
    <s v="Selesai"/>
  </r>
  <r>
    <n v="10363"/>
    <s v="Indah Marpaung"/>
    <s v="088732788147"/>
    <x v="1"/>
    <x v="2"/>
    <x v="2"/>
    <n v="7"/>
    <n v="250000"/>
    <n v="1750000"/>
    <d v="2025-07-08T00:00:00"/>
    <s v="Juli"/>
    <s v="Transfer Bank"/>
    <s v="Selesai"/>
  </r>
  <r>
    <n v="10248"/>
    <s v="Vina Nasution"/>
    <s v="08014138113"/>
    <x v="8"/>
    <x v="3"/>
    <x v="18"/>
    <n v="9"/>
    <n v="99000"/>
    <n v="891000"/>
    <d v="2025-07-08T00:00:00"/>
    <s v="Juli"/>
    <s v="Transfer Bank"/>
    <s v="Retur"/>
  </r>
  <r>
    <n v="10193"/>
    <s v="Eka Nasution"/>
    <s v="088221699586"/>
    <x v="0"/>
    <x v="3"/>
    <x v="8"/>
    <n v="7"/>
    <n v="199000"/>
    <n v="1393000"/>
    <d v="2025-09-05T00:00:00"/>
    <s v="September"/>
    <s v="QRIS"/>
    <s v="Diproses"/>
  </r>
  <r>
    <n v="10191"/>
    <s v="Kiki Halim"/>
    <s v="088305548851"/>
    <x v="3"/>
    <x v="0"/>
    <x v="7"/>
    <n v="10"/>
    <n v="199000"/>
    <n v="1990000"/>
    <d v="2025-08-31T00:00:00"/>
    <s v="Agustus"/>
    <s v="E-Wallet"/>
    <s v="Dikirim"/>
  </r>
  <r>
    <n v="10333"/>
    <s v="Fajar Simatupang"/>
    <s v="08517182754"/>
    <x v="9"/>
    <x v="1"/>
    <x v="12"/>
    <n v="4"/>
    <n v="150000"/>
    <n v="600000"/>
    <d v="2025-04-27T00:00:00"/>
    <s v="April"/>
    <s v="Kartu Kredit"/>
    <s v="Selesai"/>
  </r>
  <r>
    <n v="10160"/>
    <s v="Zaki Saputra"/>
    <s v="088725135521"/>
    <x v="1"/>
    <x v="3"/>
    <x v="19"/>
    <n v="10"/>
    <n v="75000"/>
    <n v="750000"/>
    <d v="2025-11-10T00:00:00"/>
    <s v="November"/>
    <s v="COD"/>
    <s v="Retur"/>
  </r>
  <r>
    <n v="10417"/>
    <s v="Made Wijaya"/>
    <s v="088511856724"/>
    <x v="9"/>
    <x v="2"/>
    <x v="20"/>
    <n v="2"/>
    <n v="45000"/>
    <n v="90000"/>
    <d v="2025-09-10T00:00:00"/>
    <s v="September"/>
    <s v="Kartu Kredit"/>
    <s v="Retur"/>
  </r>
  <r>
    <n v="10318"/>
    <s v="Tono Gunawan"/>
    <s v="088424375402"/>
    <x v="8"/>
    <x v="2"/>
    <x v="3"/>
    <n v="8"/>
    <n v="120000"/>
    <n v="960000"/>
    <d v="2025-05-06T00:00:00"/>
    <s v="Mei"/>
    <s v="QRIS"/>
    <s v="Diproses"/>
  </r>
  <r>
    <n v="10176"/>
    <s v="Yani Hidayat"/>
    <s v="088172482513"/>
    <x v="3"/>
    <x v="2"/>
    <x v="14"/>
    <n v="6"/>
    <n v="150000"/>
    <n v="900000"/>
    <d v="2025-06-03T00:00:00"/>
    <s v="Juni"/>
    <s v="COD"/>
    <s v="Retur"/>
  </r>
  <r>
    <n v="10087"/>
    <s v="Umi Kusuma"/>
    <s v="088900109439"/>
    <x v="9"/>
    <x v="2"/>
    <x v="2"/>
    <n v="3"/>
    <n v="250000"/>
    <n v="750000"/>
    <d v="2025-11-16T00:00:00"/>
    <s v="November"/>
    <s v="QRIS"/>
    <s v="Dibatalkan"/>
  </r>
  <r>
    <n v="10244"/>
    <s v="Yani Siregar"/>
    <s v="088285574982"/>
    <x v="9"/>
    <x v="3"/>
    <x v="4"/>
    <n v="8"/>
    <n v="150000"/>
    <n v="1200000"/>
    <d v="2025-05-31T00:00:00"/>
    <s v="Mei"/>
    <s v="QRIS"/>
    <s v="Dikirim"/>
  </r>
  <r>
    <n v="10207"/>
    <s v="Tono Halim"/>
    <s v="088257775478"/>
    <x v="1"/>
    <x v="3"/>
    <x v="18"/>
    <n v="4"/>
    <n v="45000"/>
    <n v="180000"/>
    <d v="2025-12-31T00:00:00"/>
    <s v="Desember"/>
    <s v="Kartu Kredit"/>
    <s v="Dibatalkan"/>
  </r>
  <r>
    <n v="10264"/>
    <s v="Fajar Simatupang"/>
    <s v="08656999880"/>
    <x v="8"/>
    <x v="0"/>
    <x v="21"/>
    <n v="4"/>
    <n v="99000"/>
    <n v="396000"/>
    <d v="2025-07-27T00:00:00"/>
    <s v="Juli"/>
    <s v="Transfer Bank"/>
    <s v="Retur"/>
  </r>
  <r>
    <n v="10260"/>
    <s v="Vina Setiawan"/>
    <s v="08893639264"/>
    <x v="7"/>
    <x v="0"/>
    <x v="13"/>
    <n v="3"/>
    <n v="75000"/>
    <n v="225000"/>
    <d v="2025-07-21T00:00:00"/>
    <s v="Juli"/>
    <s v="COD"/>
    <s v="Selesai"/>
  </r>
  <r>
    <n v="10377"/>
    <s v="Budi Gunawan"/>
    <s v="08200894346"/>
    <x v="9"/>
    <x v="2"/>
    <x v="20"/>
    <n v="4"/>
    <n v="25000"/>
    <n v="100000"/>
    <d v="2025-09-19T00:00:00"/>
    <s v="September"/>
    <s v="QRIS"/>
    <s v="Dibatalkan"/>
  </r>
  <r>
    <n v="10340"/>
    <s v="Andi Gunawan"/>
    <s v="08491141520"/>
    <x v="5"/>
    <x v="0"/>
    <x v="17"/>
    <n v="7"/>
    <n v="75000"/>
    <n v="525000"/>
    <d v="2025-01-29T00:00:00"/>
    <s v="Januari"/>
    <s v="COD"/>
    <s v="Diproses"/>
  </r>
  <r>
    <n v="10006"/>
    <s v="Zaki Setiawan"/>
    <s v="088880957015"/>
    <x v="9"/>
    <x v="3"/>
    <x v="18"/>
    <n v="9"/>
    <n v="199000"/>
    <n v="1791000"/>
    <d v="2025-04-12T00:00:00"/>
    <s v="April"/>
    <s v="COD"/>
    <s v="Dibatalkan"/>
  </r>
  <r>
    <n v="10299"/>
    <s v="Umi Siregar"/>
    <s v="088101194707"/>
    <x v="8"/>
    <x v="4"/>
    <x v="23"/>
    <n v="7"/>
    <n v="45000"/>
    <n v="315000"/>
    <d v="2025-11-11T00:00:00"/>
    <s v="November"/>
    <s v="Transfer Bank"/>
    <s v="Dikirim"/>
  </r>
  <r>
    <n v="10477"/>
    <s v="Eka Rahayu"/>
    <s v="08225267711"/>
    <x v="4"/>
    <x v="3"/>
    <x v="18"/>
    <n v="8"/>
    <n v="250000"/>
    <n v="2000000"/>
    <d v="2025-07-08T00:00:00"/>
    <s v="Juli"/>
    <s v="E-Wallet"/>
    <s v="Selesai"/>
  </r>
  <r>
    <n v="10567"/>
    <s v="Dewi Rahayu"/>
    <s v="088627796304"/>
    <x v="8"/>
    <x v="4"/>
    <x v="11"/>
    <n v="2"/>
    <n v="35000"/>
    <n v="70000"/>
    <d v="2025-08-26T00:00:00"/>
    <s v="Agustus"/>
    <s v="E-Wallet"/>
    <s v="Selesai"/>
  </r>
  <r>
    <n v="10549"/>
    <s v="Bella Wijaya"/>
    <s v="08673204413"/>
    <x v="0"/>
    <x v="0"/>
    <x v="7"/>
    <n v="8"/>
    <n v="99000"/>
    <n v="792000"/>
    <d v="2025-10-21T00:00:00"/>
    <s v="Oktober"/>
    <s v="QRIS"/>
    <s v="Retur"/>
  </r>
  <r>
    <n v="10515"/>
    <s v="Wawan Hidayat"/>
    <s v="088472812356"/>
    <x v="1"/>
    <x v="1"/>
    <x v="1"/>
    <n v="6"/>
    <n v="45000"/>
    <n v="270000"/>
    <d v="2025-10-30T00:00:00"/>
    <s v="Oktober"/>
    <s v="QRIS"/>
    <s v="Retur"/>
  </r>
  <r>
    <n v="10546"/>
    <s v="Erik Setiawan"/>
    <s v="088328348315"/>
    <x v="0"/>
    <x v="3"/>
    <x v="24"/>
    <n v="6"/>
    <n v="99000"/>
    <n v="594000"/>
    <d v="2025-12-28T00:00:00"/>
    <s v="Desember"/>
    <s v="QRIS"/>
    <s v="Dikirim"/>
  </r>
  <r>
    <n v="10116"/>
    <s v="Umi Setiawan"/>
    <s v="088101666870"/>
    <x v="4"/>
    <x v="3"/>
    <x v="18"/>
    <n v="7"/>
    <n v="120000"/>
    <n v="840000"/>
    <d v="2025-10-17T00:00:00"/>
    <s v="Oktober"/>
    <s v="COD"/>
    <s v="Diproses"/>
  </r>
  <r>
    <n v="10131"/>
    <s v="Made Marpaung"/>
    <s v="08790507236"/>
    <x v="8"/>
    <x v="2"/>
    <x v="2"/>
    <n v="9"/>
    <n v="35000"/>
    <n v="315000"/>
    <d v="2025-09-08T00:00:00"/>
    <s v="September"/>
    <s v="E-Wallet"/>
    <s v="Diproses"/>
  </r>
  <r>
    <n v="10486"/>
    <s v="Tono Siregar"/>
    <s v="088332288985"/>
    <x v="2"/>
    <x v="0"/>
    <x v="13"/>
    <n v="3"/>
    <n v="250000"/>
    <n v="750000"/>
    <d v="2025-08-26T00:00:00"/>
    <s v="Agustus"/>
    <s v="Transfer Bank"/>
    <s v="Selesai"/>
  </r>
  <r>
    <n v="10326"/>
    <s v="Citra Halim"/>
    <s v=""/>
    <x v="8"/>
    <x v="1"/>
    <x v="22"/>
    <n v="8"/>
    <n v="25000"/>
    <n v="200000"/>
    <d v="2025-11-07T00:00:00"/>
    <s v="November"/>
    <s v="QRIS"/>
    <s v="Retur"/>
  </r>
  <r>
    <n v="10550"/>
    <s v="Kiki Siregar"/>
    <s v="088542770707"/>
    <x v="2"/>
    <x v="0"/>
    <x v="17"/>
    <n v="5"/>
    <n v="250000"/>
    <n v="1250000"/>
    <d v="2025-08-11T00:00:00"/>
    <s v="Agustus"/>
    <s v="Transfer Bank"/>
    <s v="Selesai"/>
  </r>
  <r>
    <n v="10450"/>
    <s v="Budi Hidayat"/>
    <s v="088961844626"/>
    <x v="4"/>
    <x v="4"/>
    <x v="23"/>
    <n v="9"/>
    <n v="45000"/>
    <n v="405000"/>
    <d v="2025-10-30T00:00:00"/>
    <s v="Oktober"/>
    <s v="E-Wallet"/>
    <s v="Dibatalkan"/>
  </r>
  <r>
    <n v="10036"/>
    <s v="Umi Nugroho"/>
    <s v=""/>
    <x v="1"/>
    <x v="1"/>
    <x v="22"/>
    <n v="10"/>
    <n v="99000"/>
    <n v="990000"/>
    <d v="2025-06-06T00:00:00"/>
    <s v="Juni"/>
    <s v="QRIS"/>
    <s v="Retur"/>
  </r>
  <r>
    <n v="10079"/>
    <s v="Citra Simatupang"/>
    <s v="088874034505"/>
    <x v="4"/>
    <x v="3"/>
    <x v="19"/>
    <n v="1"/>
    <n v="75000"/>
    <n v="75000"/>
    <d v="2025-08-06T00:00:00"/>
    <s v="Agustus"/>
    <s v="QRIS"/>
    <s v="Dikirim"/>
  </r>
  <r>
    <n v="10379"/>
    <s v="Joko Lestari"/>
    <s v="088266110627"/>
    <x v="0"/>
    <x v="4"/>
    <x v="5"/>
    <n v="6"/>
    <n v="150000"/>
    <n v="900000"/>
    <d v="2025-10-26T00:00:00"/>
    <s v="Oktober"/>
    <s v="COD"/>
    <s v="Dibatalkan"/>
  </r>
  <r>
    <n v="10243"/>
    <s v="Lina Kusuma"/>
    <s v="088812735857"/>
    <x v="9"/>
    <x v="3"/>
    <x v="8"/>
    <n v="6"/>
    <n v="250000"/>
    <n v="1500000"/>
    <d v="2025-01-31T00:00:00"/>
    <s v="Januari"/>
    <s v="Transfer Bank"/>
    <s v="Dibatalkan"/>
  </r>
  <r>
    <n v="10156"/>
    <s v="Made Setiawan"/>
    <s v="088932133480"/>
    <x v="7"/>
    <x v="2"/>
    <x v="2"/>
    <n v="1"/>
    <n v="50000"/>
    <n v="50000"/>
    <d v="2025-01-30T00:00:00"/>
    <s v="Januari"/>
    <s v="Kartu Kredit"/>
    <s v="Retur"/>
  </r>
  <r>
    <n v="10339"/>
    <s v="Wawan Nasution"/>
    <s v="088545009025"/>
    <x v="0"/>
    <x v="2"/>
    <x v="16"/>
    <n v="7"/>
    <n v="50000"/>
    <n v="350000"/>
    <d v="2025-09-11T00:00:00"/>
    <s v="September"/>
    <s v="QRIS"/>
    <s v="Dikirim"/>
  </r>
  <r>
    <n v="10414"/>
    <s v="Gita Kusuma"/>
    <s v="088256621286"/>
    <x v="4"/>
    <x v="4"/>
    <x v="10"/>
    <n v="9"/>
    <n v="25000"/>
    <n v="225000"/>
    <d v="2025-08-21T00:00:00"/>
    <s v="Agustus"/>
    <s v="Transfer Bank"/>
    <s v="Dibatalkan"/>
  </r>
  <r>
    <n v="10157"/>
    <s v="Dian Siregar"/>
    <s v="088929378427"/>
    <x v="9"/>
    <x v="4"/>
    <x v="23"/>
    <n v="6"/>
    <n v="75000"/>
    <n v="450000"/>
    <d v="2025-10-30T00:00:00"/>
    <s v="Oktober"/>
    <s v="Transfer Bank"/>
    <s v="Dibatalkan"/>
  </r>
  <r>
    <n v="10427"/>
    <s v="Hadi Kusuma"/>
    <s v="088973471566"/>
    <x v="8"/>
    <x v="4"/>
    <x v="6"/>
    <n v="4"/>
    <n v="99000"/>
    <n v="396000"/>
    <d v="2025-04-01T00:00:00"/>
    <s v="April"/>
    <s v="QRIS"/>
    <s v="Diproses"/>
  </r>
  <r>
    <n v="10288"/>
    <s v="Hadi Santoso"/>
    <s v="088009751971"/>
    <x v="2"/>
    <x v="2"/>
    <x v="14"/>
    <n v="4"/>
    <n v="150000"/>
    <n v="600000"/>
    <d v="2025-05-18T00:00:00"/>
    <s v="Mei"/>
    <s v="Kartu Kredit"/>
    <s v="Retur"/>
  </r>
  <r>
    <n v="10456"/>
    <s v="Nita Lestari"/>
    <s v="08853890972"/>
    <x v="8"/>
    <x v="2"/>
    <x v="16"/>
    <n v="7"/>
    <n v="15000"/>
    <n v="105000"/>
    <d v="2025-11-12T00:00:00"/>
    <s v="November"/>
    <s v="COD"/>
    <s v="Selesai"/>
  </r>
  <r>
    <n v="10527"/>
    <s v="Joko Santoso"/>
    <s v="088344149782"/>
    <x v="1"/>
    <x v="0"/>
    <x v="7"/>
    <n v="3"/>
    <n v="250000"/>
    <n v="750000"/>
    <d v="2025-04-13T00:00:00"/>
    <s v="April"/>
    <s v="E-Wallet"/>
    <s v="Diproses"/>
  </r>
  <r>
    <n v="10013"/>
    <s v="Budi Kusuma"/>
    <s v="088247510799"/>
    <x v="2"/>
    <x v="2"/>
    <x v="20"/>
    <n v="5"/>
    <n v="45000"/>
    <n v="225000"/>
    <d v="2025-09-12T00:00:00"/>
    <s v="September"/>
    <s v="E-Wallet"/>
    <s v="Diproses"/>
  </r>
  <r>
    <n v="10556"/>
    <s v="Yani Nugroho"/>
    <s v="088763928369"/>
    <x v="1"/>
    <x v="3"/>
    <x v="18"/>
    <n v="9"/>
    <n v="150000"/>
    <n v="1350000"/>
    <d v="2025-02-09T00:00:00"/>
    <s v="Februari"/>
    <s v="E-Wallet"/>
    <s v="Dikirim"/>
  </r>
  <r>
    <n v="10049"/>
    <s v="Yani Setiawan"/>
    <s v="088406409097"/>
    <x v="4"/>
    <x v="1"/>
    <x v="12"/>
    <n v="2"/>
    <n v="45000"/>
    <n v="90000"/>
    <d v="2025-07-15T00:00:00"/>
    <s v="Juli"/>
    <s v="QRIS"/>
    <s v="Dibatalkan"/>
  </r>
  <r>
    <n v="10075"/>
    <s v="Lina Nugroho"/>
    <s v="088472779010"/>
    <x v="5"/>
    <x v="4"/>
    <x v="5"/>
    <n v="6"/>
    <n v="25000"/>
    <n v="150000"/>
    <d v="2025-11-29T00:00:00"/>
    <s v="November"/>
    <s v="E-Wallet"/>
    <s v="Diproses"/>
  </r>
  <r>
    <n v="10071"/>
    <s v="Vina Marpaung"/>
    <s v="088221418880"/>
    <x v="6"/>
    <x v="0"/>
    <x v="17"/>
    <n v="3"/>
    <n v="45000"/>
    <n v="135000"/>
    <d v="2025-06-24T00:00:00"/>
    <s v="Juni"/>
    <s v="Kartu Kredit"/>
    <s v="Diproses"/>
  </r>
  <r>
    <n v="10585"/>
    <s v="Tono Rahayu"/>
    <s v="088604409079"/>
    <x v="5"/>
    <x v="0"/>
    <x v="7"/>
    <n v="1"/>
    <n v="199000"/>
    <n v="199000"/>
    <d v="2025-05-20T00:00:00"/>
    <s v="Mei"/>
    <s v="Transfer Bank"/>
    <s v="Dibatalkan"/>
  </r>
  <r>
    <n v="10140"/>
    <s v="Tono Saputra"/>
    <s v="088121965652"/>
    <x v="9"/>
    <x v="0"/>
    <x v="13"/>
    <n v="3"/>
    <n v="99000"/>
    <n v="297000"/>
    <d v="2025-12-11T00:00:00"/>
    <s v="Desember"/>
    <s v="Kartu Kredit"/>
    <s v="Diproses"/>
  </r>
  <r>
    <n v="10538"/>
    <s v="Tono Saputra"/>
    <s v="08873397855"/>
    <x v="3"/>
    <x v="4"/>
    <x v="5"/>
    <n v="6"/>
    <n v="99000"/>
    <n v="594000"/>
    <d v="2025-10-18T00:00:00"/>
    <s v="Oktober"/>
    <s v="QRIS"/>
    <s v="Selesai"/>
  </r>
  <r>
    <n v="10593"/>
    <s v="Vina Pratama"/>
    <s v="088966734595"/>
    <x v="6"/>
    <x v="4"/>
    <x v="11"/>
    <n v="9"/>
    <n v="35000"/>
    <n v="315000"/>
    <d v="2025-01-12T00:00:00"/>
    <s v="Januari"/>
    <s v="Kartu Kredit"/>
    <s v="Retur"/>
  </r>
  <r>
    <n v="10504"/>
    <s v="Dewi Gunawan"/>
    <s v="088080882351"/>
    <x v="8"/>
    <x v="2"/>
    <x v="3"/>
    <n v="1"/>
    <n v="35000"/>
    <n v="35000"/>
    <d v="2025-09-25T00:00:00"/>
    <s v="September"/>
    <s v="E-Wallet"/>
    <s v="Selesai"/>
  </r>
  <r>
    <n v="10559"/>
    <s v="Zaki Wijaya"/>
    <s v="088981209957"/>
    <x v="6"/>
    <x v="1"/>
    <x v="12"/>
    <n v="7"/>
    <n v="50000"/>
    <n v="350000"/>
    <d v="2025-02-09T00:00:00"/>
    <s v="Februari"/>
    <s v="COD"/>
    <s v="Diproses"/>
  </r>
  <r>
    <n v="10506"/>
    <s v="Made Pratama"/>
    <s v="088591966395"/>
    <x v="2"/>
    <x v="4"/>
    <x v="6"/>
    <n v="8"/>
    <n v="99000"/>
    <n v="792000"/>
    <d v="2025-08-17T00:00:00"/>
    <s v="Agustus"/>
    <s v="Kartu Kredit"/>
    <s v="Retur"/>
  </r>
  <r>
    <n v="10151"/>
    <s v="Hadi Kusuma"/>
    <s v="088853747411"/>
    <x v="9"/>
    <x v="3"/>
    <x v="19"/>
    <n v="2"/>
    <n v="35000"/>
    <n v="70000"/>
    <d v="2025-08-19T00:00:00"/>
    <s v="Agustus"/>
    <s v="Kartu Kredit"/>
    <s v="Dibatalkan"/>
  </r>
  <r>
    <n v="10175"/>
    <s v="Vina Gunawan"/>
    <s v="088520744666"/>
    <x v="4"/>
    <x v="0"/>
    <x v="13"/>
    <n v="3"/>
    <n v="150000"/>
    <n v="450000"/>
    <d v="2025-05-04T00:00:00"/>
    <s v="Mei"/>
    <s v="Transfer Bank"/>
    <s v="Retur"/>
  </r>
  <r>
    <n v="10395"/>
    <s v="Yani Setiawan"/>
    <s v="08775803046"/>
    <x v="8"/>
    <x v="1"/>
    <x v="1"/>
    <n v="6"/>
    <n v="99000"/>
    <n v="594000"/>
    <d v="2025-07-28T00:00:00"/>
    <s v="Juli"/>
    <s v="E-Wallet"/>
    <s v="Selesai"/>
  </r>
  <r>
    <n v="10523"/>
    <s v="Nita Nugroho"/>
    <s v="088614878245"/>
    <x v="6"/>
    <x v="3"/>
    <x v="19"/>
    <n v="10"/>
    <n v="99000"/>
    <n v="990000"/>
    <d v="2025-07-04T00:00:00"/>
    <s v="Juli"/>
    <s v="COD"/>
    <s v="Selesai"/>
  </r>
  <r>
    <n v="10251"/>
    <s v="Andi Lestari"/>
    <s v="088992107522"/>
    <x v="7"/>
    <x v="4"/>
    <x v="6"/>
    <n v="6"/>
    <n v="15000"/>
    <n v="90000"/>
    <d v="2025-12-20T00:00:00"/>
    <s v="Desember"/>
    <s v="E-Wallet"/>
    <s v="Retur"/>
  </r>
  <r>
    <n v="10446"/>
    <s v="Vina Siregar"/>
    <s v="088783099974"/>
    <x v="8"/>
    <x v="1"/>
    <x v="22"/>
    <n v="8"/>
    <n v="75000"/>
    <n v="600000"/>
    <d v="2025-01-06T00:00:00"/>
    <s v="Januari"/>
    <s v="Transfer Bank"/>
    <s v="Selesai"/>
  </r>
  <r>
    <n v="10037"/>
    <s v="Ahmad Hidayat"/>
    <s v=""/>
    <x v="4"/>
    <x v="3"/>
    <x v="19"/>
    <n v="4"/>
    <n v="35000"/>
    <n v="140000"/>
    <d v="2025-10-10T00:00:00"/>
    <s v="Oktober"/>
    <s v="Transfer Bank"/>
    <s v="Diproses"/>
  </r>
  <r>
    <n v="10597"/>
    <s v="Sari Kusuma"/>
    <s v="088809961327"/>
    <x v="8"/>
    <x v="2"/>
    <x v="16"/>
    <n v="4"/>
    <n v="199000"/>
    <n v="796000"/>
    <d v="2025-02-04T00:00:00"/>
    <s v="Februari"/>
    <s v="COD"/>
    <s v="Dibatalkan"/>
  </r>
  <r>
    <n v="10168"/>
    <s v="Bella Marpaung"/>
    <s v="088485646799"/>
    <x v="1"/>
    <x v="4"/>
    <x v="23"/>
    <n v="10"/>
    <n v="199000"/>
    <n v="1990000"/>
    <d v="2025-02-21T00:00:00"/>
    <s v="Februari"/>
    <s v="Transfer Bank"/>
    <s v="Retur"/>
  </r>
  <r>
    <n v="10135"/>
    <s v="Ahmad Marpaung"/>
    <s v="088672946671"/>
    <x v="4"/>
    <x v="4"/>
    <x v="6"/>
    <n v="4"/>
    <n v="35000"/>
    <n v="140000"/>
    <d v="2025-12-31T00:00:00"/>
    <s v="Desember"/>
    <s v="E-Wallet"/>
    <s v="Diproses"/>
  </r>
  <r>
    <n v="10107"/>
    <s v="Umi Saputra"/>
    <s v="088673830284"/>
    <x v="3"/>
    <x v="3"/>
    <x v="8"/>
    <n v="1"/>
    <n v="120000"/>
    <n v="120000"/>
    <d v="2025-11-03T00:00:00"/>
    <s v="November"/>
    <s v="Transfer Bank"/>
    <s v="Diproses"/>
  </r>
  <r>
    <n v="10247"/>
    <s v="Wawan Nasution"/>
    <s v=""/>
    <x v="2"/>
    <x v="2"/>
    <x v="20"/>
    <n v="1"/>
    <n v="75000"/>
    <n v="75000"/>
    <d v="2025-04-24T00:00:00"/>
    <s v="April"/>
    <s v="QRIS"/>
    <s v="Selesai"/>
  </r>
  <r>
    <n v="10072"/>
    <s v="Eka Siregar"/>
    <s v="088947383473"/>
    <x v="9"/>
    <x v="2"/>
    <x v="2"/>
    <n v="8"/>
    <n v="15000"/>
    <n v="120000"/>
    <d v="2025-07-30T00:00:00"/>
    <s v="Juli"/>
    <s v="E-Wallet"/>
    <s v="Diproses"/>
  </r>
  <r>
    <n v="10173"/>
    <s v="Ahmad Hidayat"/>
    <s v="088290349446"/>
    <x v="3"/>
    <x v="4"/>
    <x v="10"/>
    <n v="7"/>
    <n v="150000"/>
    <n v="1050000"/>
    <d v="2025-11-01T00:00:00"/>
    <s v="November"/>
    <s v="Transfer Bank"/>
    <s v="Dikirim"/>
  </r>
  <r>
    <n v="10578"/>
    <s v="Umi Halim"/>
    <s v="088735228705"/>
    <x v="9"/>
    <x v="0"/>
    <x v="7"/>
    <n v="4"/>
    <n v="199000"/>
    <n v="796000"/>
    <d v="2025-07-10T00:00:00"/>
    <s v="Juli"/>
    <s v="QRIS"/>
    <s v="Retur"/>
  </r>
  <r>
    <n v="10211"/>
    <s v="Rian Halim"/>
    <s v="088498926659"/>
    <x v="8"/>
    <x v="3"/>
    <x v="24"/>
    <n v="6"/>
    <n v="25000"/>
    <n v="150000"/>
    <d v="2025-12-27T00:00:00"/>
    <s v="Desember"/>
    <s v="QRIS"/>
    <s v="Dibatalkan"/>
  </r>
  <r>
    <n v="10187"/>
    <s v="Putri Nasution"/>
    <s v="088993588916"/>
    <x v="1"/>
    <x v="3"/>
    <x v="24"/>
    <n v="5"/>
    <n v="250000"/>
    <n v="1250000"/>
    <d v="2025-06-10T00:00:00"/>
    <s v="Juni"/>
    <s v="Transfer Bank"/>
    <s v="Retur"/>
  </r>
  <r>
    <n v="10086"/>
    <s v="Erik Santoso"/>
    <s v="088358414384"/>
    <x v="1"/>
    <x v="3"/>
    <x v="24"/>
    <n v="9"/>
    <n v="35000"/>
    <n v="315000"/>
    <d v="2025-05-06T00:00:00"/>
    <s v="Mei"/>
    <s v="COD"/>
    <s v="Diproses"/>
  </r>
  <r>
    <n v="10057"/>
    <s v="Nita Pratama"/>
    <s v="08985698478"/>
    <x v="8"/>
    <x v="3"/>
    <x v="18"/>
    <n v="10"/>
    <n v="35000"/>
    <n v="350000"/>
    <d v="2025-02-03T00:00:00"/>
    <s v="Februari"/>
    <s v="COD"/>
    <s v="Dibatalkan"/>
  </r>
  <r>
    <n v="10534"/>
    <s v="Andi Santoso"/>
    <s v="088595724461"/>
    <x v="0"/>
    <x v="4"/>
    <x v="10"/>
    <n v="9"/>
    <n v="99000"/>
    <n v="891000"/>
    <d v="2025-09-20T00:00:00"/>
    <s v="September"/>
    <s v="Transfer Bank"/>
    <s v="Diproses"/>
  </r>
  <r>
    <n v="10074"/>
    <s v="Dian Halim"/>
    <s v="088261375060"/>
    <x v="5"/>
    <x v="2"/>
    <x v="16"/>
    <n v="5"/>
    <n v="25000"/>
    <n v="125000"/>
    <d v="2025-03-24T00:00:00"/>
    <s v="Maret"/>
    <s v="E-Wallet"/>
    <s v="Dikirim"/>
  </r>
  <r>
    <n v="10053"/>
    <s v="Putri Pratama"/>
    <s v="088261796405"/>
    <x v="3"/>
    <x v="4"/>
    <x v="11"/>
    <n v="8"/>
    <n v="75000"/>
    <n v="600000"/>
    <d v="2025-12-10T00:00:00"/>
    <s v="Desember"/>
    <s v="QRIS"/>
    <s v="Dikirim"/>
  </r>
  <r>
    <n v="10063"/>
    <s v="Wawan Rahayu"/>
    <s v="08451076226"/>
    <x v="3"/>
    <x v="2"/>
    <x v="16"/>
    <n v="1"/>
    <n v="45000"/>
    <n v="45000"/>
    <d v="2025-06-04T00:00:00"/>
    <s v="Juni"/>
    <s v="COD"/>
    <s v="Diproses"/>
  </r>
  <r>
    <n v="10219"/>
    <s v="Sari Nasution"/>
    <s v="08137213865"/>
    <x v="6"/>
    <x v="2"/>
    <x v="14"/>
    <n v="5"/>
    <n v="50000"/>
    <n v="250000"/>
    <d v="2025-10-23T00:00:00"/>
    <s v="Oktober"/>
    <s v="E-Wallet"/>
    <s v="Dikirim"/>
  </r>
  <r>
    <n v="10225"/>
    <s v="Dian Saputra"/>
    <s v="088588043416"/>
    <x v="5"/>
    <x v="3"/>
    <x v="4"/>
    <n v="4"/>
    <n v="250000"/>
    <n v="1000000"/>
    <d v="2025-12-26T00:00:00"/>
    <s v="Desember"/>
    <s v="COD"/>
    <s v="Dibatalkan"/>
  </r>
  <r>
    <n v="10548"/>
    <s v="Hadi Hidayat"/>
    <s v="088095493059"/>
    <x v="9"/>
    <x v="1"/>
    <x v="15"/>
    <n v="1"/>
    <n v="250000"/>
    <n v="250000"/>
    <d v="2025-06-06T00:00:00"/>
    <s v="Juni"/>
    <s v="Transfer Bank"/>
    <s v="Retur"/>
  </r>
  <r>
    <n v="10501"/>
    <s v="Citra Kusuma"/>
    <s v="08027523343"/>
    <x v="1"/>
    <x v="2"/>
    <x v="2"/>
    <n v="1"/>
    <n v="199000"/>
    <n v="199000"/>
    <d v="2025-12-29T00:00:00"/>
    <s v="Desember"/>
    <s v="QRIS"/>
    <s v="Selesai"/>
  </r>
  <r>
    <n v="10499"/>
    <s v="Joko Setiawan"/>
    <s v="088895529638"/>
    <x v="4"/>
    <x v="4"/>
    <x v="5"/>
    <n v="7"/>
    <n v="15000"/>
    <n v="105000"/>
    <d v="2025-01-08T00:00:00"/>
    <s v="Januari"/>
    <s v="Transfer Bank"/>
    <s v="Diproses"/>
  </r>
  <r>
    <n v="10186"/>
    <s v="Made Siregar"/>
    <s v="088979729659"/>
    <x v="4"/>
    <x v="1"/>
    <x v="12"/>
    <n v="3"/>
    <n v="25000"/>
    <n v="75000"/>
    <d v="2025-03-09T00:00:00"/>
    <s v="Maret"/>
    <s v="Transfer Bank"/>
    <s v="Diproses"/>
  </r>
  <r>
    <n v="10020"/>
    <s v="Andi Hidayat"/>
    <s v="088656482366"/>
    <x v="1"/>
    <x v="0"/>
    <x v="7"/>
    <n v="6"/>
    <n v="250000"/>
    <n v="1500000"/>
    <d v="2025-03-05T00:00:00"/>
    <s v="Maret"/>
    <s v="E-Wallet"/>
    <s v="Retur"/>
  </r>
  <r>
    <n v="10530"/>
    <s v="Tono Nasution"/>
    <s v="088723244079"/>
    <x v="7"/>
    <x v="2"/>
    <x v="3"/>
    <n v="1"/>
    <n v="45000"/>
    <n v="45000"/>
    <d v="2025-09-22T00:00:00"/>
    <s v="September"/>
    <s v="COD"/>
    <s v="Retur"/>
  </r>
  <r>
    <n v="10203"/>
    <s v="Vina Kusuma"/>
    <s v="088766072832"/>
    <x v="7"/>
    <x v="3"/>
    <x v="18"/>
    <n v="9"/>
    <n v="25000"/>
    <n v="225000"/>
    <d v="2025-05-29T00:00:00"/>
    <s v="Mei"/>
    <s v="E-Wallet"/>
    <s v="Retur"/>
  </r>
  <r>
    <n v="10149"/>
    <s v="Andi Marpaung"/>
    <s v="088836702410"/>
    <x v="3"/>
    <x v="0"/>
    <x v="0"/>
    <n v="6"/>
    <n v="15000"/>
    <n v="90000"/>
    <d v="2025-12-03T00:00:00"/>
    <s v="Desember"/>
    <s v="Kartu Kredit"/>
    <s v="Dibatalkan"/>
  </r>
  <r>
    <n v="10563"/>
    <s v="Lina Hidayat"/>
    <s v="088674124151"/>
    <x v="2"/>
    <x v="1"/>
    <x v="15"/>
    <n v="3"/>
    <n v="120000"/>
    <n v="360000"/>
    <d v="2025-01-06T00:00:00"/>
    <s v="Januari"/>
    <s v="Transfer Bank"/>
    <s v="Selesai"/>
  </r>
  <r>
    <n v="10516"/>
    <s v="Rian Hidayat"/>
    <s v="08113072407"/>
    <x v="3"/>
    <x v="0"/>
    <x v="21"/>
    <n v="3"/>
    <n v="250000"/>
    <n v="750000"/>
    <d v="2025-06-07T00:00:00"/>
    <s v="Juni"/>
    <s v="QRIS"/>
    <s v="Selesai"/>
  </r>
  <r>
    <n v="10246"/>
    <s v="Ahmad Lestari"/>
    <s v="08220317310"/>
    <x v="4"/>
    <x v="1"/>
    <x v="22"/>
    <n v="2"/>
    <n v="25000"/>
    <n v="50000"/>
    <d v="2025-09-25T00:00:00"/>
    <s v="September"/>
    <s v="Transfer Bank"/>
    <s v="Selesai"/>
  </r>
  <r>
    <n v="10224"/>
    <s v="Fajar Marpaung"/>
    <s v="088947697357"/>
    <x v="5"/>
    <x v="3"/>
    <x v="8"/>
    <n v="5"/>
    <n v="75000"/>
    <n v="375000"/>
    <d v="2025-03-01T00:00:00"/>
    <s v="Maret"/>
    <s v="QRIS"/>
    <s v="Dibatalkan"/>
  </r>
  <r>
    <n v="10573"/>
    <s v="Indah Nasution"/>
    <s v="088883607658"/>
    <x v="4"/>
    <x v="3"/>
    <x v="19"/>
    <n v="7"/>
    <n v="150000"/>
    <n v="1050000"/>
    <d v="2025-05-23T00:00:00"/>
    <s v="Mei"/>
    <s v="Kartu Kredit"/>
    <s v="Dibatalkan"/>
  </r>
  <r>
    <n v="10591"/>
    <s v="Oki Santoso"/>
    <s v="088435884183"/>
    <x v="2"/>
    <x v="4"/>
    <x v="23"/>
    <n v="10"/>
    <n v="45000"/>
    <n v="450000"/>
    <d v="2025-12-26T00:00:00"/>
    <s v="Desember"/>
    <s v="Kartu Kredit"/>
    <s v="Dibatalkan"/>
  </r>
  <r>
    <n v="10331"/>
    <s v="Tono Wijaya"/>
    <s v="08393250124"/>
    <x v="5"/>
    <x v="3"/>
    <x v="24"/>
    <n v="5"/>
    <n v="250000"/>
    <n v="1250000"/>
    <d v="2025-06-01T00:00:00"/>
    <s v="Juni"/>
    <s v="Transfer Bank"/>
    <s v="Selesai"/>
  </r>
  <r>
    <n v="10394"/>
    <s v="Dian Setiawan"/>
    <s v="088921249384"/>
    <x v="0"/>
    <x v="4"/>
    <x v="23"/>
    <n v="4"/>
    <n v="250000"/>
    <n v="1000000"/>
    <d v="2025-10-17T00:00:00"/>
    <s v="Oktober"/>
    <s v="QRIS"/>
    <s v="Retur"/>
  </r>
  <r>
    <n v="10061"/>
    <s v="Lina Saputra"/>
    <s v="088675254599"/>
    <x v="9"/>
    <x v="1"/>
    <x v="1"/>
    <n v="3"/>
    <n v="250000"/>
    <n v="750000"/>
    <d v="2025-01-16T00:00:00"/>
    <s v="Januari"/>
    <s v="Transfer Bank"/>
    <s v="Retur"/>
  </r>
  <r>
    <n v="10275"/>
    <s v="Tono Gunawan"/>
    <s v="088568299629"/>
    <x v="0"/>
    <x v="4"/>
    <x v="23"/>
    <n v="6"/>
    <n v="75000"/>
    <n v="450000"/>
    <d v="2025-03-02T00:00:00"/>
    <s v="Maret"/>
    <s v="COD"/>
    <s v="Dibatalkan"/>
  </r>
  <r>
    <n v="10366"/>
    <s v="Citra Setiawan"/>
    <s v="088697499564"/>
    <x v="1"/>
    <x v="3"/>
    <x v="24"/>
    <n v="7"/>
    <n v="25000"/>
    <n v="175000"/>
    <d v="2025-01-07T00:00:00"/>
    <s v="Januari"/>
    <s v="COD"/>
    <s v="Dikirim"/>
  </r>
  <r>
    <n v="10133"/>
    <s v="Tono Pratama"/>
    <s v="088340745171"/>
    <x v="0"/>
    <x v="2"/>
    <x v="16"/>
    <n v="8"/>
    <n v="150000"/>
    <n v="1200000"/>
    <d v="2025-04-22T00:00:00"/>
    <s v="April"/>
    <s v="Kartu Kredit"/>
    <s v="Selesai"/>
  </r>
  <r>
    <n v="10213"/>
    <s v="Umi Pratama"/>
    <s v="08603029922"/>
    <x v="1"/>
    <x v="3"/>
    <x v="4"/>
    <n v="8"/>
    <n v="120000"/>
    <n v="960000"/>
    <d v="2025-04-18T00:00:00"/>
    <s v="April"/>
    <s v="QRIS"/>
    <s v="Diproses"/>
  </r>
  <r>
    <n v="10197"/>
    <s v="Bella Gunawan"/>
    <s v="08933472122"/>
    <x v="7"/>
    <x v="0"/>
    <x v="13"/>
    <n v="10"/>
    <n v="120000"/>
    <n v="1200000"/>
    <d v="2025-04-26T00:00:00"/>
    <s v="April"/>
    <s v="E-Wallet"/>
    <s v="Retur"/>
  </r>
  <r>
    <n v="10266"/>
    <s v="Erik Lestari"/>
    <s v="088570279371"/>
    <x v="8"/>
    <x v="2"/>
    <x v="16"/>
    <n v="3"/>
    <n v="199000"/>
    <n v="597000"/>
    <d v="2025-12-23T00:00:00"/>
    <s v="Desember"/>
    <s v="QRIS"/>
    <s v="Diproses"/>
  </r>
  <r>
    <n v="10208"/>
    <s v="Vina Kusuma"/>
    <s v="088969308488"/>
    <x v="9"/>
    <x v="4"/>
    <x v="10"/>
    <n v="2"/>
    <n v="25000"/>
    <n v="50000"/>
    <d v="2025-01-10T00:00:00"/>
    <s v="Januari"/>
    <s v="QRIS"/>
    <s v="Selesai"/>
  </r>
  <r>
    <n v="10346"/>
    <s v="Oki Nasution"/>
    <s v="08482070015"/>
    <x v="1"/>
    <x v="3"/>
    <x v="19"/>
    <n v="3"/>
    <n v="50000"/>
    <n v="150000"/>
    <d v="2025-11-03T00:00:00"/>
    <s v="November"/>
    <s v="Transfer Bank"/>
    <s v="Dibatalkan"/>
  </r>
  <r>
    <n v="10489"/>
    <s v="Dian Rahayu"/>
    <s v="088687409038"/>
    <x v="1"/>
    <x v="4"/>
    <x v="11"/>
    <n v="6"/>
    <n v="150000"/>
    <n v="900000"/>
    <d v="2025-11-16T00:00:00"/>
    <s v="November"/>
    <s v="E-Wallet"/>
    <s v="Dibatalkan"/>
  </r>
  <r>
    <n v="10016"/>
    <s v="Sari Marpaung"/>
    <s v="088204505331"/>
    <x v="7"/>
    <x v="3"/>
    <x v="19"/>
    <n v="9"/>
    <n v="15000"/>
    <n v="135000"/>
    <d v="2025-07-09T00:00:00"/>
    <s v="Juli"/>
    <s v="QRIS"/>
    <s v="Retur"/>
  </r>
  <r>
    <n v="10003"/>
    <s v="Umi Santoso"/>
    <s v="088030564139"/>
    <x v="3"/>
    <x v="1"/>
    <x v="12"/>
    <n v="5"/>
    <n v="250000"/>
    <n v="1250000"/>
    <d v="2025-12-19T00:00:00"/>
    <s v="Desember"/>
    <s v="QRIS"/>
    <s v="Diproses"/>
  </r>
  <r>
    <n v="10035"/>
    <s v="Oki Gunawan"/>
    <s v="088022941318"/>
    <x v="7"/>
    <x v="1"/>
    <x v="1"/>
    <n v="2"/>
    <n v="99000"/>
    <n v="198000"/>
    <d v="2025-09-09T00:00:00"/>
    <s v="September"/>
    <s v="Transfer Bank"/>
    <s v="Retur"/>
  </r>
  <r>
    <n v="10369"/>
    <s v="Joko Wijaya"/>
    <s v="088695814671"/>
    <x v="1"/>
    <x v="2"/>
    <x v="3"/>
    <n v="10"/>
    <n v="250000"/>
    <n v="2500000"/>
    <d v="2025-09-07T00:00:00"/>
    <s v="September"/>
    <s v="COD"/>
    <s v="Selesai"/>
  </r>
  <r>
    <n v="10522"/>
    <s v="Bella Gunawan"/>
    <s v="088545897148"/>
    <x v="8"/>
    <x v="0"/>
    <x v="7"/>
    <n v="5"/>
    <n v="250000"/>
    <n v="1250000"/>
    <d v="2025-09-07T00:00:00"/>
    <s v="September"/>
    <s v="E-Wallet"/>
    <s v="Dibatalkan"/>
  </r>
  <r>
    <n v="10540"/>
    <s v="Yani Halim"/>
    <s v="088908197400"/>
    <x v="9"/>
    <x v="3"/>
    <x v="8"/>
    <n v="10"/>
    <n v="45000"/>
    <n v="450000"/>
    <d v="2025-09-23T00:00:00"/>
    <s v="September"/>
    <s v="QRIS"/>
    <s v="Retur"/>
  </r>
  <r>
    <n v="10169"/>
    <s v="Fajar Setiawan"/>
    <s v="088450544471"/>
    <x v="9"/>
    <x v="2"/>
    <x v="14"/>
    <n v="1"/>
    <n v="99000"/>
    <n v="99000"/>
    <d v="2025-06-19T00:00:00"/>
    <s v="Juni"/>
    <s v="COD"/>
    <s v="Selesai"/>
  </r>
  <r>
    <n v="10435"/>
    <s v="Andi Wijaya"/>
    <s v="088477596555"/>
    <x v="7"/>
    <x v="2"/>
    <x v="16"/>
    <n v="2"/>
    <n v="45000"/>
    <n v="90000"/>
    <d v="2025-09-25T00:00:00"/>
    <s v="September"/>
    <s v="Transfer Bank"/>
    <s v="Dikirim"/>
  </r>
  <r>
    <n v="10411"/>
    <s v="Hadi Hidayat"/>
    <s v="08663778052"/>
    <x v="3"/>
    <x v="2"/>
    <x v="3"/>
    <n v="8"/>
    <n v="120000"/>
    <n v="960000"/>
    <d v="2025-06-24T00:00:00"/>
    <s v="Juni"/>
    <s v="Transfer Bank"/>
    <s v="Dibatalkan"/>
  </r>
  <r>
    <n v="10056"/>
    <s v="Indah Wijaya"/>
    <s v="088839084700"/>
    <x v="1"/>
    <x v="3"/>
    <x v="24"/>
    <n v="8"/>
    <n v="120000"/>
    <n v="960000"/>
    <d v="2025-07-05T00:00:00"/>
    <s v="Juli"/>
    <s v="QRIS"/>
    <s v="Retur"/>
  </r>
  <r>
    <n v="10328"/>
    <s v="Ahmad Santoso"/>
    <s v="088028457652"/>
    <x v="6"/>
    <x v="0"/>
    <x v="17"/>
    <n v="6"/>
    <n v="25000"/>
    <n v="150000"/>
    <d v="2025-10-01T00:00:00"/>
    <s v="Oktober"/>
    <s v="QRIS"/>
    <s v="Dibatalkan"/>
  </r>
  <r>
    <n v="10256"/>
    <s v="Umi Saputra"/>
    <s v="088521103924"/>
    <x v="9"/>
    <x v="2"/>
    <x v="14"/>
    <n v="10"/>
    <n v="35000"/>
    <n v="350000"/>
    <d v="2025-08-14T00:00:00"/>
    <s v="Agustus"/>
    <s v="Transfer Bank"/>
    <s v="Diproses"/>
  </r>
  <r>
    <n v="10500"/>
    <s v="Umi Siregar"/>
    <s v="088128196482"/>
    <x v="2"/>
    <x v="4"/>
    <x v="11"/>
    <n v="3"/>
    <n v="99000"/>
    <n v="297000"/>
    <d v="2025-06-12T00:00:00"/>
    <s v="Juni"/>
    <s v="QRIS"/>
    <s v="Diproses"/>
  </r>
  <r>
    <n v="10407"/>
    <s v="Kiki Halim"/>
    <s v="088373634669"/>
    <x v="8"/>
    <x v="1"/>
    <x v="12"/>
    <n v="5"/>
    <n v="199000"/>
    <n v="995000"/>
    <d v="2025-07-25T00:00:00"/>
    <s v="Juli"/>
    <s v="QRIS"/>
    <s v="Selesai"/>
  </r>
  <r>
    <n v="10123"/>
    <s v="Chandra Siregar"/>
    <s v="088265479356"/>
    <x v="8"/>
    <x v="1"/>
    <x v="15"/>
    <n v="3"/>
    <n v="50000"/>
    <n v="150000"/>
    <d v="2025-06-14T00:00:00"/>
    <s v="Juni"/>
    <s v="QRIS"/>
    <s v="Diproses"/>
  </r>
  <r>
    <n v="10227"/>
    <s v="Dewi Kusuma"/>
    <s v="088947284639"/>
    <x v="2"/>
    <x v="2"/>
    <x v="16"/>
    <n v="8"/>
    <n v="75000"/>
    <n v="600000"/>
    <d v="2025-11-14T00:00:00"/>
    <s v="November"/>
    <s v="E-Wallet"/>
    <s v="Dikirim"/>
  </r>
  <r>
    <n v="10308"/>
    <s v="Budi Halim"/>
    <s v="08220781137"/>
    <x v="3"/>
    <x v="0"/>
    <x v="17"/>
    <n v="10"/>
    <n v="120000"/>
    <n v="1200000"/>
    <d v="2025-01-23T00:00:00"/>
    <s v="Januari"/>
    <s v="Transfer Bank"/>
    <s v="Selesai"/>
  </r>
  <r>
    <n v="10458"/>
    <s v="Zaki Siregar"/>
    <s v=""/>
    <x v="4"/>
    <x v="2"/>
    <x v="16"/>
    <n v="8"/>
    <n v="199000"/>
    <n v="1592000"/>
    <d v="2025-09-07T00:00:00"/>
    <s v="September"/>
    <s v="Transfer Bank"/>
    <s v="Dibatalkan"/>
  </r>
  <r>
    <n v="10125"/>
    <s v="Oki Nasution"/>
    <s v="088113529096"/>
    <x v="1"/>
    <x v="2"/>
    <x v="14"/>
    <n v="9"/>
    <n v="15000"/>
    <n v="135000"/>
    <d v="2025-07-04T00:00:00"/>
    <s v="Juli"/>
    <s v="QRIS"/>
    <s v="Retur"/>
  </r>
  <r>
    <n v="10235"/>
    <s v="Rian Kusuma"/>
    <s v="088228200557"/>
    <x v="4"/>
    <x v="4"/>
    <x v="5"/>
    <n v="7"/>
    <n v="50000"/>
    <n v="350000"/>
    <d v="2025-04-28T00:00:00"/>
    <s v="April"/>
    <s v="COD"/>
    <s v="Dibatalkan"/>
  </r>
  <r>
    <n v="10236"/>
    <s v="Fitri Setiawan"/>
    <s v="088845783174"/>
    <x v="8"/>
    <x v="2"/>
    <x v="2"/>
    <n v="10"/>
    <n v="199000"/>
    <n v="1990000"/>
    <d v="2025-08-22T00:00:00"/>
    <s v="Agustus"/>
    <s v="QRIS"/>
    <s v="Dikirim"/>
  </r>
  <r>
    <n v="10295"/>
    <s v="Ahmad Hidayat"/>
    <s v=""/>
    <x v="6"/>
    <x v="4"/>
    <x v="10"/>
    <n v="9"/>
    <n v="15000"/>
    <n v="135000"/>
    <d v="2025-11-12T00:00:00"/>
    <s v="November"/>
    <s v="Transfer Bank"/>
    <s v="Selesai"/>
  </r>
  <r>
    <n v="10105"/>
    <s v="Citra Wijaya"/>
    <s v="088265676618"/>
    <x v="6"/>
    <x v="3"/>
    <x v="8"/>
    <n v="1"/>
    <n v="25000"/>
    <n v="25000"/>
    <d v="2025-08-30T00:00:00"/>
    <s v="Agustus"/>
    <s v="Transfer Bank"/>
    <s v="Dibatalkan"/>
  </r>
  <r>
    <n v="10015"/>
    <s v="Zaki Lestari"/>
    <s v="088016400524"/>
    <x v="4"/>
    <x v="4"/>
    <x v="10"/>
    <n v="4"/>
    <n v="250000"/>
    <n v="1000000"/>
    <d v="2025-11-21T00:00:00"/>
    <s v="November"/>
    <s v="E-Wallet"/>
    <s v="Retur"/>
  </r>
  <r>
    <n v="10558"/>
    <s v="Eka Wijaya"/>
    <s v="08683415599"/>
    <x v="7"/>
    <x v="4"/>
    <x v="5"/>
    <n v="3"/>
    <n v="150000"/>
    <n v="450000"/>
    <d v="2025-09-29T00:00:00"/>
    <s v="September"/>
    <s v="Kartu Kredit"/>
    <s v="Dikirim"/>
  </r>
  <r>
    <n v="10067"/>
    <s v="Vina Rahayu"/>
    <s v=""/>
    <x v="2"/>
    <x v="0"/>
    <x v="7"/>
    <n v="2"/>
    <n v="50000"/>
    <n v="100000"/>
    <d v="2025-08-25T00:00:00"/>
    <s v="Agustus"/>
    <s v="Kartu Kredit"/>
    <s v="Selesai"/>
  </r>
  <r>
    <n v="10165"/>
    <s v="Made Santoso"/>
    <s v="08490211586"/>
    <x v="1"/>
    <x v="4"/>
    <x v="11"/>
    <n v="1"/>
    <n v="50000"/>
    <n v="50000"/>
    <d v="2025-08-14T00:00:00"/>
    <s v="Agustus"/>
    <s v="Kartu Kredit"/>
    <s v="Dibatalkan"/>
  </r>
  <r>
    <n v="10102"/>
    <s v="Indah Halim"/>
    <s v="08459332727"/>
    <x v="7"/>
    <x v="3"/>
    <x v="4"/>
    <n v="5"/>
    <n v="35000"/>
    <n v="175000"/>
    <d v="2025-07-27T00:00:00"/>
    <s v="Juli"/>
    <s v="QRIS"/>
    <s v="Dibatalkan"/>
  </r>
  <r>
    <n v="10364"/>
    <s v="Fitri Nasution"/>
    <s v="088081866179"/>
    <x v="9"/>
    <x v="0"/>
    <x v="13"/>
    <n v="9"/>
    <n v="99000"/>
    <n v="891000"/>
    <d v="2025-01-06T00:00:00"/>
    <s v="Januari"/>
    <s v="QRIS"/>
    <s v="Selesai"/>
  </r>
  <r>
    <n v="10459"/>
    <s v="Kiki Rahayu"/>
    <s v="088188261702"/>
    <x v="5"/>
    <x v="0"/>
    <x v="13"/>
    <n v="7"/>
    <n v="75000"/>
    <n v="525000"/>
    <d v="2025-01-05T00:00:00"/>
    <s v="Januari"/>
    <s v="Transfer Bank"/>
    <s v="Dikirim"/>
  </r>
  <r>
    <n v="10089"/>
    <s v="Fajar Simatupang"/>
    <s v="088258815371"/>
    <x v="8"/>
    <x v="4"/>
    <x v="10"/>
    <n v="10"/>
    <n v="35000"/>
    <n v="350000"/>
    <d v="2025-06-10T00:00:00"/>
    <s v="Juni"/>
    <s v="E-Wallet"/>
    <s v="Dibatalkan"/>
  </r>
  <r>
    <n v="10122"/>
    <s v="Eka Kusuma"/>
    <s v="088799371240"/>
    <x v="1"/>
    <x v="1"/>
    <x v="22"/>
    <n v="8"/>
    <n v="25000"/>
    <n v="200000"/>
    <d v="2025-04-07T00:00:00"/>
    <s v="April"/>
    <s v="E-Wallet"/>
    <s v="Diproses"/>
  </r>
  <r>
    <n v="10370"/>
    <s v="Vina Halim"/>
    <s v="088959724665"/>
    <x v="1"/>
    <x v="4"/>
    <x v="10"/>
    <n v="4"/>
    <n v="120000"/>
    <n v="480000"/>
    <d v="2025-06-26T00:00:00"/>
    <s v="Juni"/>
    <s v="Kartu Kredit"/>
    <s v="Diproses"/>
  </r>
  <r>
    <n v="10234"/>
    <s v="Eka Nugroho"/>
    <s v=""/>
    <x v="5"/>
    <x v="4"/>
    <x v="11"/>
    <n v="2"/>
    <n v="25000"/>
    <n v="50000"/>
    <d v="2025-02-02T00:00:00"/>
    <s v="Februari"/>
    <s v="Kartu Kredit"/>
    <s v="Retur"/>
  </r>
  <r>
    <n v="10082"/>
    <s v="Eka Simatupang"/>
    <s v="088755719285"/>
    <x v="9"/>
    <x v="4"/>
    <x v="10"/>
    <n v="6"/>
    <n v="99000"/>
    <n v="594000"/>
    <d v="2025-10-18T00:00:00"/>
    <s v="Oktober"/>
    <s v="Transfer Bank"/>
    <s v="Retur"/>
  </r>
  <r>
    <n v="10098"/>
    <s v="Yani Setiawan"/>
    <s v="088016571208"/>
    <x v="5"/>
    <x v="2"/>
    <x v="2"/>
    <n v="4"/>
    <n v="15000"/>
    <n v="60000"/>
    <d v="2025-12-09T00:00:00"/>
    <s v="Desember"/>
    <s v="QRIS"/>
    <s v="Diproses"/>
  </r>
  <r>
    <n v="10442"/>
    <s v="Chandra Nugroho"/>
    <s v="088814973746"/>
    <x v="8"/>
    <x v="2"/>
    <x v="20"/>
    <n v="3"/>
    <n v="250000"/>
    <n v="750000"/>
    <d v="2025-12-26T00:00:00"/>
    <s v="Desember"/>
    <s v="Transfer Bank"/>
    <s v="Retur"/>
  </r>
  <r>
    <n v="10560"/>
    <s v="Oki Santoso"/>
    <s v="088898645652"/>
    <x v="2"/>
    <x v="3"/>
    <x v="19"/>
    <n v="5"/>
    <n v="120000"/>
    <n v="600000"/>
    <d v="2025-06-24T00:00:00"/>
    <s v="Juni"/>
    <s v="Transfer Bank"/>
    <s v="Retur"/>
  </r>
  <r>
    <n v="10282"/>
    <s v="Joko Halim"/>
    <s v="088876963938"/>
    <x v="2"/>
    <x v="2"/>
    <x v="16"/>
    <n v="7"/>
    <n v="25000"/>
    <n v="175000"/>
    <d v="2025-06-16T00:00:00"/>
    <s v="Juni"/>
    <s v="QRIS"/>
    <s v="Selesai"/>
  </r>
  <r>
    <n v="10199"/>
    <s v="Lina Kusuma"/>
    <s v="08153355543"/>
    <x v="0"/>
    <x v="4"/>
    <x v="23"/>
    <n v="2"/>
    <n v="150000"/>
    <n v="300000"/>
    <d v="2025-03-23T00:00:00"/>
    <s v="Maret"/>
    <s v="Kartu Kredit"/>
    <s v="Retur"/>
  </r>
  <r>
    <n v="10404"/>
    <s v="Fajar Nugroho"/>
    <s v="088026153473"/>
    <x v="9"/>
    <x v="2"/>
    <x v="2"/>
    <n v="3"/>
    <n v="45000"/>
    <n v="135000"/>
    <d v="2025-12-01T00:00:00"/>
    <s v="Desember"/>
    <s v="COD"/>
    <s v="Dibatalkan"/>
  </r>
  <r>
    <n v="10452"/>
    <s v="Dewi Marpaung"/>
    <s v=""/>
    <x v="6"/>
    <x v="3"/>
    <x v="18"/>
    <n v="6"/>
    <n v="50000"/>
    <n v="300000"/>
    <d v="2025-03-16T00:00:00"/>
    <s v="Maret"/>
    <s v="COD"/>
    <s v="Dibatalkan"/>
  </r>
  <r>
    <n v="10307"/>
    <s v="Nita Saputra"/>
    <s v="088340312772"/>
    <x v="3"/>
    <x v="3"/>
    <x v="8"/>
    <n v="2"/>
    <n v="199000"/>
    <n v="398000"/>
    <d v="2025-05-07T00:00:00"/>
    <s v="Mei"/>
    <s v="QRIS"/>
    <s v="Retur"/>
  </r>
  <r>
    <n v="10380"/>
    <s v="Citra Halim"/>
    <s v="08762282772"/>
    <x v="1"/>
    <x v="2"/>
    <x v="3"/>
    <n v="7"/>
    <n v="50000"/>
    <n v="350000"/>
    <d v="2025-10-27T00:00:00"/>
    <s v="Oktober"/>
    <s v="Kartu Kredit"/>
    <s v="Dikirim"/>
  </r>
  <r>
    <n v="10466"/>
    <s v="Lina Halim"/>
    <s v="088291093371"/>
    <x v="0"/>
    <x v="0"/>
    <x v="13"/>
    <n v="5"/>
    <n v="45000"/>
    <n v="225000"/>
    <d v="2025-10-27T00:00:00"/>
    <s v="Oktober"/>
    <s v="Kartu Kredit"/>
    <s v="Selesai"/>
  </r>
  <r>
    <n v="10189"/>
    <s v="Kiki Nugroho"/>
    <s v=""/>
    <x v="4"/>
    <x v="2"/>
    <x v="2"/>
    <n v="9"/>
    <n v="250000"/>
    <n v="2250000"/>
    <d v="2025-07-13T00:00:00"/>
    <s v="Juli"/>
    <s v="Kartu Kredit"/>
    <s v="Diproses"/>
  </r>
  <r>
    <n v="10350"/>
    <s v="Andi Siregar"/>
    <s v="088417765612"/>
    <x v="4"/>
    <x v="4"/>
    <x v="10"/>
    <n v="4"/>
    <n v="35000"/>
    <n v="140000"/>
    <d v="2025-08-13T00:00:00"/>
    <s v="Agustus"/>
    <s v="E-Wallet"/>
    <s v="Dikirim"/>
  </r>
  <r>
    <n v="10241"/>
    <s v="Chandra Saputra"/>
    <s v="088376452088"/>
    <x v="3"/>
    <x v="1"/>
    <x v="9"/>
    <n v="1"/>
    <n v="45000"/>
    <n v="45000"/>
    <d v="2025-08-24T00:00:00"/>
    <s v="Agustus"/>
    <s v="Transfer Bank"/>
    <s v="Retur"/>
  </r>
  <r>
    <n v="10320"/>
    <s v="Wawan Gunawan"/>
    <s v="088727520885"/>
    <x v="9"/>
    <x v="1"/>
    <x v="15"/>
    <n v="3"/>
    <n v="150000"/>
    <n v="450000"/>
    <d v="2025-06-04T00:00:00"/>
    <s v="Juni"/>
    <s v="Transfer Bank"/>
    <s v="Selesai"/>
  </r>
  <r>
    <n v="10484"/>
    <s v="Lina Gunawan"/>
    <s v="08438303419"/>
    <x v="3"/>
    <x v="4"/>
    <x v="23"/>
    <n v="2"/>
    <n v="25000"/>
    <n v="50000"/>
    <d v="2025-04-19T00:00:00"/>
    <s v="April"/>
    <s v="QRIS"/>
    <s v="Selesai"/>
  </r>
  <r>
    <n v="10577"/>
    <s v="Rian Pratama"/>
    <s v="08866041644"/>
    <x v="3"/>
    <x v="3"/>
    <x v="24"/>
    <n v="7"/>
    <n v="120000"/>
    <n v="840000"/>
    <d v="2025-03-29T00:00:00"/>
    <s v="Maret"/>
    <s v="QRIS"/>
    <s v="Dikirim"/>
  </r>
  <r>
    <n v="10127"/>
    <s v="Fitri Kusuma"/>
    <s v="088775140105"/>
    <x v="9"/>
    <x v="0"/>
    <x v="17"/>
    <n v="8"/>
    <n v="45000"/>
    <n v="360000"/>
    <d v="2025-09-24T00:00:00"/>
    <s v="September"/>
    <s v="Kartu Kredit"/>
    <s v="Dibatalkan"/>
  </r>
  <r>
    <n v="10474"/>
    <s v="Ahmad Kusuma"/>
    <s v="088797245723"/>
    <x v="9"/>
    <x v="2"/>
    <x v="16"/>
    <n v="1"/>
    <n v="25000"/>
    <n v="25000"/>
    <d v="2025-10-05T00:00:00"/>
    <s v="Oktober"/>
    <s v="E-Wallet"/>
    <s v="Selesai"/>
  </r>
  <r>
    <n v="10166"/>
    <s v="Sari Wijaya"/>
    <s v="088089899217"/>
    <x v="0"/>
    <x v="2"/>
    <x v="14"/>
    <n v="10"/>
    <n v="45000"/>
    <n v="450000"/>
    <d v="2025-09-01T00:00:00"/>
    <s v="September"/>
    <s v="E-Wallet"/>
    <s v="Selesai"/>
  </r>
  <r>
    <n v="10011"/>
    <s v="Budi Saputra"/>
    <s v="088647468723"/>
    <x v="3"/>
    <x v="1"/>
    <x v="12"/>
    <n v="8"/>
    <n v="45000"/>
    <n v="360000"/>
    <d v="2025-07-25T00:00:00"/>
    <s v="Juli"/>
    <s v="Transfer Bank"/>
    <s v="Diproses"/>
  </r>
  <r>
    <n v="10209"/>
    <s v="Lina Siregar"/>
    <s v="08039282722"/>
    <x v="2"/>
    <x v="0"/>
    <x v="13"/>
    <n v="8"/>
    <n v="150000"/>
    <n v="1200000"/>
    <d v="2025-09-19T00:00:00"/>
    <s v="September"/>
    <s v="Transfer Bank"/>
    <s v="Dikirim"/>
  </r>
  <r>
    <n v="10374"/>
    <s v="Kiki Lestari"/>
    <s v="088456532863"/>
    <x v="3"/>
    <x v="1"/>
    <x v="1"/>
    <n v="4"/>
    <n v="120000"/>
    <n v="480000"/>
    <d v="2025-06-24T00:00:00"/>
    <s v="Juni"/>
    <s v="E-Wallet"/>
    <s v="Retur"/>
  </r>
  <r>
    <n v="10292"/>
    <s v="Fitri Lestari"/>
    <s v="088292766372"/>
    <x v="6"/>
    <x v="0"/>
    <x v="13"/>
    <n v="8"/>
    <n v="35000"/>
    <n v="280000"/>
    <d v="2025-09-28T00:00:00"/>
    <s v="September"/>
    <s v="Transfer Bank"/>
    <s v="Dibatalkan"/>
  </r>
  <r>
    <n v="10306"/>
    <s v="Fajar Kusuma"/>
    <s v="088329092791"/>
    <x v="4"/>
    <x v="1"/>
    <x v="9"/>
    <n v="4"/>
    <n v="35000"/>
    <n v="140000"/>
    <d v="2025-11-24T00:00:00"/>
    <s v="November"/>
    <s v="E-Wallet"/>
    <s v="Retur"/>
  </r>
  <r>
    <n v="10332"/>
    <s v="Lina Santoso"/>
    <s v="088342801387"/>
    <x v="2"/>
    <x v="2"/>
    <x v="3"/>
    <n v="2"/>
    <n v="25000"/>
    <n v="50000"/>
    <d v="2025-10-24T00:00:00"/>
    <s v="Oktober"/>
    <s v="Transfer Bank"/>
    <s v="Retur"/>
  </r>
  <r>
    <n v="10257"/>
    <s v="Yani Pratama"/>
    <s v="088487920698"/>
    <x v="8"/>
    <x v="3"/>
    <x v="18"/>
    <n v="4"/>
    <n v="150000"/>
    <n v="600000"/>
    <d v="2025-04-19T00:00:00"/>
    <s v="April"/>
    <s v="COD"/>
    <s v="Retur"/>
  </r>
  <r>
    <n v="10317"/>
    <s v="Indah Pratama"/>
    <s v="088670431038"/>
    <x v="8"/>
    <x v="4"/>
    <x v="23"/>
    <n v="1"/>
    <n v="50000"/>
    <n v="50000"/>
    <d v="2025-08-02T00:00:00"/>
    <s v="Agustus"/>
    <s v="QRIS"/>
    <s v="Diproses"/>
  </r>
  <r>
    <n v="10312"/>
    <s v="Eka Saputra"/>
    <s v="088177318063"/>
    <x v="7"/>
    <x v="1"/>
    <x v="15"/>
    <n v="1"/>
    <n v="99000"/>
    <n v="99000"/>
    <d v="2025-09-29T00:00:00"/>
    <s v="September"/>
    <s v="Kartu Kredit"/>
    <s v="Dikirim"/>
  </r>
  <r>
    <n v="10070"/>
    <s v="Wawan Siregar"/>
    <s v="08629148652"/>
    <x v="4"/>
    <x v="2"/>
    <x v="2"/>
    <n v="6"/>
    <n v="25000"/>
    <n v="150000"/>
    <d v="2025-10-26T00:00:00"/>
    <s v="Oktober"/>
    <s v="COD"/>
    <s v="Dibatalkan"/>
  </r>
  <r>
    <n v="10316"/>
    <s v="Lina Simatupang"/>
    <s v="088137116241"/>
    <x v="0"/>
    <x v="3"/>
    <x v="4"/>
    <n v="9"/>
    <n v="250000"/>
    <n v="2250000"/>
    <d v="2025-09-30T00:00:00"/>
    <s v="September"/>
    <s v="E-Wallet"/>
    <s v="Dikirim"/>
  </r>
  <r>
    <n v="10014"/>
    <s v="Sari Hidayat"/>
    <s v="088498084124"/>
    <x v="4"/>
    <x v="0"/>
    <x v="0"/>
    <n v="4"/>
    <n v="75000"/>
    <n v="300000"/>
    <d v="2025-05-26T00:00:00"/>
    <s v="Mei"/>
    <s v="COD"/>
    <s v="Dikirim"/>
  </r>
  <r>
    <n v="10514"/>
    <s v="Rian Nugroho"/>
    <s v="088158331170"/>
    <x v="8"/>
    <x v="1"/>
    <x v="22"/>
    <n v="6"/>
    <n v="120000"/>
    <n v="720000"/>
    <d v="2025-04-26T00:00:00"/>
    <s v="April"/>
    <s v="Transfer Bank"/>
    <s v="Dibatalkan"/>
  </r>
  <r>
    <n v="10210"/>
    <s v="Wawan Lestari"/>
    <s v=""/>
    <x v="6"/>
    <x v="4"/>
    <x v="11"/>
    <n v="4"/>
    <n v="25000"/>
    <n v="100000"/>
    <d v="2025-05-16T00:00:00"/>
    <s v="Mei"/>
    <s v="E-Wallet"/>
    <s v="Diproses"/>
  </r>
  <r>
    <n v="10483"/>
    <s v="Eka Hidayat"/>
    <s v="088662056341"/>
    <x v="2"/>
    <x v="4"/>
    <x v="11"/>
    <n v="3"/>
    <n v="150000"/>
    <n v="450000"/>
    <d v="2025-06-11T00:00:00"/>
    <s v="Juni"/>
    <s v="Transfer Bank"/>
    <s v="Dikirim"/>
  </r>
  <r>
    <n v="10214"/>
    <s v="Erik Lestari"/>
    <s v="088379772369"/>
    <x v="9"/>
    <x v="4"/>
    <x v="23"/>
    <n v="7"/>
    <n v="199000"/>
    <n v="1393000"/>
    <d v="2025-10-16T00:00:00"/>
    <s v="Oktober"/>
    <s v="Transfer Bank"/>
    <s v="Dibatalkan"/>
  </r>
  <r>
    <n v="10297"/>
    <s v="Wawan Hidayat"/>
    <s v="088244717465"/>
    <x v="5"/>
    <x v="3"/>
    <x v="24"/>
    <n v="10"/>
    <n v="35000"/>
    <n v="350000"/>
    <d v="2025-07-12T00:00:00"/>
    <s v="Juli"/>
    <s v="QRIS"/>
    <s v="Diproses"/>
  </r>
  <r>
    <n v="10464"/>
    <s v="Dian Wijaya"/>
    <s v="088041454563"/>
    <x v="1"/>
    <x v="0"/>
    <x v="13"/>
    <n v="4"/>
    <n v="75000"/>
    <n v="300000"/>
    <d v="2025-07-08T00:00:00"/>
    <s v="Juli"/>
    <s v="Kartu Kredit"/>
    <s v="Selesai"/>
  </r>
  <r>
    <n v="10349"/>
    <s v="Indah Lestari"/>
    <s v="088348645183"/>
    <x v="8"/>
    <x v="0"/>
    <x v="17"/>
    <n v="1"/>
    <n v="250000"/>
    <n v="250000"/>
    <d v="2025-11-07T00:00:00"/>
    <s v="November"/>
    <s v="Transfer Bank"/>
    <s v="Selesai"/>
  </r>
  <r>
    <n v="10088"/>
    <s v="Vina Saputra"/>
    <s v=""/>
    <x v="0"/>
    <x v="0"/>
    <x v="21"/>
    <n v="4"/>
    <n v="250000"/>
    <n v="1000000"/>
    <d v="2025-07-27T00:00:00"/>
    <s v="Juli"/>
    <s v="E-Wallet"/>
    <s v="Dikirim"/>
  </r>
  <r>
    <n v="10335"/>
    <s v="Oki Kusuma"/>
    <s v="088961367499"/>
    <x v="9"/>
    <x v="1"/>
    <x v="15"/>
    <n v="2"/>
    <n v="35000"/>
    <n v="70000"/>
    <d v="2025-02-03T00:00:00"/>
    <s v="Februari"/>
    <s v="E-Wallet"/>
    <s v="Diproses"/>
  </r>
  <r>
    <n v="10508"/>
    <s v="Eka Gunawan"/>
    <s v="08649383184"/>
    <x v="7"/>
    <x v="3"/>
    <x v="18"/>
    <n v="4"/>
    <n v="120000"/>
    <n v="480000"/>
    <d v="2025-10-18T00:00:00"/>
    <s v="Oktober"/>
    <s v="E-Wallet"/>
    <s v="Diproses"/>
  </r>
  <r>
    <n v="10390"/>
    <s v="Indah Setiawan"/>
    <s v="08416128463"/>
    <x v="6"/>
    <x v="4"/>
    <x v="23"/>
    <n v="9"/>
    <n v="50000"/>
    <n v="450000"/>
    <d v="2025-01-24T00:00:00"/>
    <s v="Januari"/>
    <s v="COD"/>
    <s v="Retur"/>
  </r>
  <r>
    <n v="10171"/>
    <s v="Erik Saputra"/>
    <s v="088786103579"/>
    <x v="3"/>
    <x v="3"/>
    <x v="19"/>
    <n v="1"/>
    <n v="120000"/>
    <n v="120000"/>
    <d v="2025-01-26T00:00:00"/>
    <s v="Januari"/>
    <s v="E-Wallet"/>
    <s v="Diproses"/>
  </r>
  <r>
    <n v="10594"/>
    <s v="Joko Wijaya"/>
    <s v="088249839225"/>
    <x v="0"/>
    <x v="1"/>
    <x v="12"/>
    <n v="5"/>
    <n v="199000"/>
    <n v="995000"/>
    <d v="2025-07-25T00:00:00"/>
    <s v="Juli"/>
    <s v="QRIS"/>
    <s v="Selesai"/>
  </r>
  <r>
    <n v="10272"/>
    <s v="Fitri Rahayu"/>
    <s v="088877293430"/>
    <x v="2"/>
    <x v="0"/>
    <x v="7"/>
    <n v="10"/>
    <n v="199000"/>
    <n v="1990000"/>
    <d v="2025-01-07T00:00:00"/>
    <s v="Januari"/>
    <s v="COD"/>
    <s v="Retur"/>
  </r>
  <r>
    <n v="10001"/>
    <s v="Hadi Simatupang"/>
    <s v="088615594078"/>
    <x v="4"/>
    <x v="4"/>
    <x v="11"/>
    <n v="6"/>
    <n v="50000"/>
    <n v="300000"/>
    <d v="2025-03-21T00:00:00"/>
    <s v="Maret"/>
    <s v="COD"/>
    <s v="Dibatalkan"/>
  </r>
  <r>
    <n v="10147"/>
    <s v="Made Lestari"/>
    <s v="088951802380"/>
    <x v="7"/>
    <x v="1"/>
    <x v="9"/>
    <n v="6"/>
    <n v="45000"/>
    <n v="270000"/>
    <d v="2025-02-08T00:00:00"/>
    <s v="Februari"/>
    <s v="E-Wallet"/>
    <s v="Dibatalkan"/>
  </r>
  <r>
    <n v="10204"/>
    <s v="Joko Lestari"/>
    <s v="088881435368"/>
    <x v="6"/>
    <x v="2"/>
    <x v="3"/>
    <n v="3"/>
    <n v="25000"/>
    <n v="75000"/>
    <d v="2025-01-22T00:00:00"/>
    <s v="Januari"/>
    <s v="Transfer Bank"/>
    <s v="Retur"/>
  </r>
  <r>
    <n v="10090"/>
    <s v="Hadi Lestari"/>
    <s v="088327877470"/>
    <x v="7"/>
    <x v="1"/>
    <x v="15"/>
    <n v="7"/>
    <n v="45000"/>
    <n v="315000"/>
    <d v="2025-03-23T00:00:00"/>
    <s v="Maret"/>
    <s v="E-Wallet"/>
    <s v="Retur"/>
  </r>
  <r>
    <n v="10557"/>
    <s v="Indah Rahayu"/>
    <s v="088327021648"/>
    <x v="6"/>
    <x v="3"/>
    <x v="4"/>
    <n v="7"/>
    <n v="150000"/>
    <n v="1050000"/>
    <d v="2025-03-17T00:00:00"/>
    <s v="Maret"/>
    <s v="QRIS"/>
    <s v="Dikirim"/>
  </r>
  <r>
    <n v="10512"/>
    <s v="Yani Simatupang"/>
    <s v="088563213580"/>
    <x v="5"/>
    <x v="2"/>
    <x v="16"/>
    <n v="1"/>
    <n v="45000"/>
    <n v="45000"/>
    <d v="2025-01-25T00:00:00"/>
    <s v="Januari"/>
    <s v="Transfer Bank"/>
    <s v="Diproses"/>
  </r>
  <r>
    <n v="10566"/>
    <s v="Yani Setiawan"/>
    <s v="088477695874"/>
    <x v="1"/>
    <x v="2"/>
    <x v="2"/>
    <n v="6"/>
    <n v="120000"/>
    <n v="720000"/>
    <d v="2025-09-29T00:00:00"/>
    <s v="September"/>
    <s v="COD"/>
    <s v="Dibatalkan"/>
  </r>
  <r>
    <n v="10422"/>
    <s v="Sari Hidayat"/>
    <s v="088065063731"/>
    <x v="3"/>
    <x v="1"/>
    <x v="12"/>
    <n v="2"/>
    <n v="45000"/>
    <n v="90000"/>
    <d v="2025-04-20T00:00:00"/>
    <s v="April"/>
    <s v="Transfer Bank"/>
    <s v="Dibatalkan"/>
  </r>
  <r>
    <n v="10146"/>
    <s v="Fajar Setiawan"/>
    <s v=""/>
    <x v="2"/>
    <x v="3"/>
    <x v="19"/>
    <n v="9"/>
    <n v="15000"/>
    <n v="135000"/>
    <d v="2025-01-23T00:00:00"/>
    <s v="Januari"/>
    <s v="Transfer Bank"/>
    <s v="Diproses"/>
  </r>
  <r>
    <n v="10237"/>
    <s v="Indah Lestari"/>
    <s v="08774064930"/>
    <x v="7"/>
    <x v="2"/>
    <x v="2"/>
    <n v="6"/>
    <n v="50000"/>
    <n v="300000"/>
    <d v="2025-08-29T00:00:00"/>
    <s v="Agustus"/>
    <s v="QRIS"/>
    <s v="Selesai"/>
  </r>
  <r>
    <n v="10533"/>
    <s v="Made Siregar"/>
    <s v="088940970527"/>
    <x v="8"/>
    <x v="1"/>
    <x v="9"/>
    <n v="1"/>
    <n v="50000"/>
    <n v="50000"/>
    <d v="2025-08-23T00:00:00"/>
    <s v="Agustus"/>
    <s v="Transfer Bank"/>
    <s v="Retur"/>
  </r>
  <r>
    <n v="10253"/>
    <s v="Fitri Gunawan"/>
    <s v="088058925832"/>
    <x v="1"/>
    <x v="3"/>
    <x v="19"/>
    <n v="10"/>
    <n v="15000"/>
    <n v="150000"/>
    <d v="2025-11-21T00:00:00"/>
    <s v="November"/>
    <s v="Kartu Kredit"/>
    <s v="Selesai"/>
  </r>
  <r>
    <n v="10413"/>
    <s v="Made Hidayat"/>
    <s v="088412182097"/>
    <x v="5"/>
    <x v="1"/>
    <x v="9"/>
    <n v="8"/>
    <n v="25000"/>
    <n v="200000"/>
    <d v="2025-06-18T00:00:00"/>
    <s v="Juni"/>
    <s v="QRIS"/>
    <s v="Dikirim"/>
  </r>
  <r>
    <n v="10586"/>
    <s v="Fajar Nasution"/>
    <s v="08107051843"/>
    <x v="5"/>
    <x v="0"/>
    <x v="0"/>
    <n v="10"/>
    <n v="35000"/>
    <n v="350000"/>
    <d v="2025-12-28T00:00:00"/>
    <s v="Desember"/>
    <s v="COD"/>
    <s v="Diproses"/>
  </r>
  <r>
    <n v="10401"/>
    <s v="Umi Gunawan"/>
    <s v="088653331537"/>
    <x v="6"/>
    <x v="2"/>
    <x v="3"/>
    <n v="3"/>
    <n v="15000"/>
    <n v="45000"/>
    <d v="2025-05-02T00:00:00"/>
    <s v="Mei"/>
    <s v="QRIS"/>
    <s v="Retur"/>
  </r>
  <r>
    <n v="10589"/>
    <s v="Fitri Simatupang"/>
    <s v="088357134324"/>
    <x v="5"/>
    <x v="4"/>
    <x v="5"/>
    <n v="3"/>
    <n v="75000"/>
    <n v="225000"/>
    <d v="2025-10-30T00:00:00"/>
    <s v="Oktober"/>
    <s v="Transfer Bank"/>
    <s v="Diproses"/>
  </r>
  <r>
    <n v="10108"/>
    <s v="Kiki Gunawan"/>
    <s v="088268705685"/>
    <x v="4"/>
    <x v="2"/>
    <x v="2"/>
    <n v="7"/>
    <n v="50000"/>
    <n v="350000"/>
    <d v="2025-05-21T00:00:00"/>
    <s v="Mei"/>
    <s v="Transfer Bank"/>
    <s v="Retur"/>
  </r>
  <r>
    <n v="10371"/>
    <s v="Umi Hidayat"/>
    <s v="088674338005"/>
    <x v="5"/>
    <x v="1"/>
    <x v="9"/>
    <n v="3"/>
    <n v="45000"/>
    <n v="135000"/>
    <d v="2025-03-22T00:00:00"/>
    <s v="Maret"/>
    <s v="QRIS"/>
    <s v="Dikirim"/>
  </r>
  <r>
    <n v="10570"/>
    <s v="Bella Siregar"/>
    <s v="088286342556"/>
    <x v="6"/>
    <x v="2"/>
    <x v="16"/>
    <n v="1"/>
    <n v="150000"/>
    <n v="150000"/>
    <d v="2025-04-18T00:00:00"/>
    <s v="April"/>
    <s v="E-Wallet"/>
    <s v="Retur"/>
  </r>
  <r>
    <n v="10285"/>
    <s v="Oki Hidayat"/>
    <s v="08862405800"/>
    <x v="6"/>
    <x v="2"/>
    <x v="20"/>
    <n v="7"/>
    <n v="75000"/>
    <n v="525000"/>
    <d v="2025-02-15T00:00:00"/>
    <s v="Februari"/>
    <s v="QRIS"/>
    <s v="Selesai"/>
  </r>
  <r>
    <n v="10428"/>
    <s v="Oki Marpaung"/>
    <s v="088498282467"/>
    <x v="2"/>
    <x v="1"/>
    <x v="9"/>
    <n v="8"/>
    <n v="15000"/>
    <n v="120000"/>
    <d v="2025-07-15T00:00:00"/>
    <s v="Juli"/>
    <s v="Kartu Kredit"/>
    <s v="Selesai"/>
  </r>
  <r>
    <n v="10222"/>
    <s v="Vina Nasution"/>
    <s v="088920530214"/>
    <x v="7"/>
    <x v="2"/>
    <x v="20"/>
    <n v="4"/>
    <n v="15000"/>
    <n v="60000"/>
    <d v="2025-03-11T00:00:00"/>
    <s v="Maret"/>
    <s v="QRIS"/>
    <s v="Retur"/>
  </r>
  <r>
    <n v="10418"/>
    <s v="Budi Simatupang"/>
    <s v=""/>
    <x v="5"/>
    <x v="1"/>
    <x v="12"/>
    <n v="6"/>
    <n v="99000"/>
    <n v="594000"/>
    <d v="2025-10-04T00:00:00"/>
    <s v="Oktober"/>
    <s v="Kartu Kredit"/>
    <s v="Selesai"/>
  </r>
  <r>
    <n v="10378"/>
    <s v="Zaki Wijaya"/>
    <s v="088075399893"/>
    <x v="4"/>
    <x v="2"/>
    <x v="20"/>
    <n v="2"/>
    <n v="15000"/>
    <n v="30000"/>
    <d v="2025-11-30T00:00:00"/>
    <s v="November"/>
    <s v="Transfer Bank"/>
    <s v="Dikirim"/>
  </r>
  <r>
    <n v="10162"/>
    <s v="Vina Nugroho"/>
    <s v="088621815997"/>
    <x v="8"/>
    <x v="3"/>
    <x v="18"/>
    <n v="1"/>
    <n v="75000"/>
    <n v="75000"/>
    <d v="2025-05-14T00:00:00"/>
    <s v="Mei"/>
    <s v="Transfer Bank"/>
    <s v="Selesai"/>
  </r>
  <r>
    <n v="10182"/>
    <s v="Ahmad Wijaya"/>
    <s v="088472304618"/>
    <x v="7"/>
    <x v="3"/>
    <x v="24"/>
    <n v="1"/>
    <n v="25000"/>
    <n v="25000"/>
    <d v="2025-08-02T00:00:00"/>
    <s v="Agustus"/>
    <s v="Kartu Kredit"/>
    <s v="Dikirim"/>
  </r>
  <r>
    <n v="10296"/>
    <s v="Rian Pratama"/>
    <s v=""/>
    <x v="6"/>
    <x v="0"/>
    <x v="17"/>
    <n v="4"/>
    <n v="15000"/>
    <n v="60000"/>
    <d v="2025-01-13T00:00:00"/>
    <s v="Januari"/>
    <s v="QRIS"/>
    <s v="Selesai"/>
  </r>
  <r>
    <n v="10113"/>
    <s v="Zaki Lestari"/>
    <s v="088937854777"/>
    <x v="4"/>
    <x v="2"/>
    <x v="3"/>
    <n v="7"/>
    <n v="50000"/>
    <n v="350000"/>
    <d v="2025-03-20T00:00:00"/>
    <s v="Maret"/>
    <s v="COD"/>
    <s v="Dibatalkan"/>
  </r>
  <r>
    <n v="10216"/>
    <s v="Putri Wijaya"/>
    <s v="08508637659"/>
    <x v="0"/>
    <x v="3"/>
    <x v="4"/>
    <n v="3"/>
    <n v="199000"/>
    <n v="597000"/>
    <d v="2025-04-10T00:00:00"/>
    <s v="April"/>
    <s v="Transfer Bank"/>
    <s v="Dikirim"/>
  </r>
  <r>
    <n v="10223"/>
    <s v="Wawan Siregar"/>
    <s v="088554393769"/>
    <x v="2"/>
    <x v="2"/>
    <x v="16"/>
    <n v="2"/>
    <n v="25000"/>
    <n v="50000"/>
    <d v="2025-09-10T00:00:00"/>
    <s v="September"/>
    <s v="E-Wallet"/>
    <s v="Retur"/>
  </r>
  <r>
    <n v="10405"/>
    <s v="Wawan Santoso"/>
    <s v="08559630993"/>
    <x v="2"/>
    <x v="3"/>
    <x v="24"/>
    <n v="3"/>
    <n v="35000"/>
    <n v="105000"/>
    <d v="2025-08-04T00:00:00"/>
    <s v="Agustus"/>
    <s v="COD"/>
    <s v="Retur"/>
  </r>
  <r>
    <n v="10588"/>
    <s v="Eka Setiawan"/>
    <s v="088044851579"/>
    <x v="9"/>
    <x v="3"/>
    <x v="18"/>
    <n v="10"/>
    <n v="45000"/>
    <n v="450000"/>
    <d v="2025-12-19T00:00:00"/>
    <s v="Desember"/>
    <s v="QRIS"/>
    <s v="Dikirim"/>
  </r>
  <r>
    <n v="10126"/>
    <s v="Dewi Saputra"/>
    <s v="088679825071"/>
    <x v="4"/>
    <x v="2"/>
    <x v="3"/>
    <n v="9"/>
    <n v="199000"/>
    <n v="1791000"/>
    <d v="2025-12-19T00:00:00"/>
    <s v="Desember"/>
    <s v="QRIS"/>
    <s v="Diproses"/>
  </r>
  <r>
    <n v="10387"/>
    <s v="Wawan Santoso"/>
    <s v="088546103399"/>
    <x v="2"/>
    <x v="4"/>
    <x v="5"/>
    <n v="1"/>
    <n v="50000"/>
    <n v="50000"/>
    <d v="2025-07-19T00:00:00"/>
    <s v="Juli"/>
    <s v="Transfer Bank"/>
    <s v="Dibatalkan"/>
  </r>
  <r>
    <n v="10134"/>
    <s v="Bella Halim"/>
    <s v="088982544948"/>
    <x v="1"/>
    <x v="2"/>
    <x v="2"/>
    <n v="4"/>
    <n v="45000"/>
    <n v="180000"/>
    <d v="2025-01-31T00:00:00"/>
    <s v="Januari"/>
    <s v="QRIS"/>
    <s v="Dibatalkan"/>
  </r>
  <r>
    <n v="10384"/>
    <s v="Wawan Marpaung"/>
    <s v="08094818139"/>
    <x v="3"/>
    <x v="0"/>
    <x v="7"/>
    <n v="1"/>
    <n v="250000"/>
    <n v="250000"/>
    <d v="2025-08-15T00:00:00"/>
    <s v="Agustus"/>
    <s v="E-Wallet"/>
    <s v="Selesai"/>
  </r>
  <r>
    <n v="10240"/>
    <s v="Eka Saputra"/>
    <s v="088204618723"/>
    <x v="3"/>
    <x v="1"/>
    <x v="22"/>
    <n v="8"/>
    <n v="75000"/>
    <n v="600000"/>
    <d v="2025-08-26T00:00:00"/>
    <s v="Agustus"/>
    <s v="Transfer Bank"/>
    <s v="Dibatalkan"/>
  </r>
  <r>
    <n v="10502"/>
    <s v="Zaki Siregar"/>
    <s v="088911244211"/>
    <x v="7"/>
    <x v="3"/>
    <x v="19"/>
    <n v="1"/>
    <n v="250000"/>
    <n v="250000"/>
    <d v="2025-10-24T00:00:00"/>
    <s v="Oktober"/>
    <s v="Transfer Bank"/>
    <s v="Selesai"/>
  </r>
  <r>
    <n v="10290"/>
    <s v="Zaki Gunawan"/>
    <s v=""/>
    <x v="6"/>
    <x v="0"/>
    <x v="13"/>
    <n v="1"/>
    <n v="199000"/>
    <n v="199000"/>
    <d v="2025-06-05T00:00:00"/>
    <s v="Juni"/>
    <s v="QRIS"/>
    <s v="Dibatalkan"/>
  </r>
  <r>
    <n v="10023"/>
    <s v="Fajar Simatupang"/>
    <s v="088798687277"/>
    <x v="0"/>
    <x v="3"/>
    <x v="4"/>
    <n v="3"/>
    <n v="120000"/>
    <n v="360000"/>
    <d v="2025-12-08T00:00:00"/>
    <s v="Desember"/>
    <s v="QRIS"/>
    <s v="Retur"/>
  </r>
  <r>
    <n v="10425"/>
    <s v="Joko Hidayat"/>
    <s v="088086403553"/>
    <x v="1"/>
    <x v="3"/>
    <x v="19"/>
    <n v="10"/>
    <n v="120000"/>
    <n v="1200000"/>
    <d v="2025-06-18T00:00:00"/>
    <s v="Juni"/>
    <s v="COD"/>
    <s v="Dibatalkan"/>
  </r>
  <r>
    <n v="10360"/>
    <s v="Fitri Kusuma"/>
    <s v="08152017774"/>
    <x v="8"/>
    <x v="3"/>
    <x v="18"/>
    <n v="1"/>
    <n v="50000"/>
    <n v="50000"/>
    <d v="2025-12-15T00:00:00"/>
    <s v="Desember"/>
    <s v="Transfer Bank"/>
    <s v="Dikirim"/>
  </r>
  <r>
    <n v="10170"/>
    <s v="Joko Simatupang"/>
    <s v="088850821486"/>
    <x v="4"/>
    <x v="1"/>
    <x v="15"/>
    <n v="2"/>
    <n v="45000"/>
    <n v="90000"/>
    <d v="2025-08-15T00:00:00"/>
    <s v="Agustus"/>
    <s v="COD"/>
    <s v="Dikirim"/>
  </r>
  <r>
    <n v="10159"/>
    <s v="Lina Siregar"/>
    <s v="088895392644"/>
    <x v="5"/>
    <x v="0"/>
    <x v="17"/>
    <n v="3"/>
    <n v="35000"/>
    <n v="105000"/>
    <d v="2025-08-12T00:00:00"/>
    <s v="Agustus"/>
    <s v="Kartu Kredit"/>
    <s v="Dibatalkan"/>
  </r>
  <r>
    <n v="10030"/>
    <s v="Vina Gunawan"/>
    <s v="088849877694"/>
    <x v="1"/>
    <x v="3"/>
    <x v="4"/>
    <n v="6"/>
    <n v="250000"/>
    <n v="1500000"/>
    <d v="2025-08-24T00:00:00"/>
    <s v="Agustus"/>
    <s v="COD"/>
    <s v="Dikirim"/>
  </r>
  <r>
    <n v="10478"/>
    <s v="Zaki Setiawan"/>
    <s v="08695236687"/>
    <x v="5"/>
    <x v="4"/>
    <x v="6"/>
    <n v="7"/>
    <n v="75000"/>
    <n v="525000"/>
    <d v="2025-06-13T00:00:00"/>
    <s v="Juni"/>
    <s v="Kartu Kredit"/>
    <s v="Dikirim"/>
  </r>
  <r>
    <n v="10462"/>
    <s v="Lina Saputra"/>
    <s v="088163928234"/>
    <x v="7"/>
    <x v="0"/>
    <x v="21"/>
    <n v="10"/>
    <n v="15000"/>
    <n v="150000"/>
    <d v="2025-11-08T00:00:00"/>
    <s v="November"/>
    <s v="Kartu Kredit"/>
    <s v="Dibatalkan"/>
  </r>
  <r>
    <n v="10322"/>
    <s v="Tono Nugroho"/>
    <s v="088759980562"/>
    <x v="3"/>
    <x v="3"/>
    <x v="8"/>
    <n v="8"/>
    <n v="250000"/>
    <n v="2000000"/>
    <d v="2025-10-12T00:00:00"/>
    <s v="Oktober"/>
    <s v="Transfer Bank"/>
    <s v="Retur"/>
  </r>
  <r>
    <n v="10298"/>
    <s v="Ahmad Kusuma"/>
    <s v=""/>
    <x v="7"/>
    <x v="1"/>
    <x v="22"/>
    <n v="1"/>
    <n v="50000"/>
    <n v="50000"/>
    <d v="2025-05-16T00:00:00"/>
    <s v="Mei"/>
    <s v="COD"/>
    <s v="Dikirim"/>
  </r>
  <r>
    <n v="10311"/>
    <s v="Umi Santoso"/>
    <s v="088740633569"/>
    <x v="9"/>
    <x v="2"/>
    <x v="2"/>
    <n v="2"/>
    <n v="99000"/>
    <n v="198000"/>
    <d v="2025-09-25T00:00:00"/>
    <s v="September"/>
    <s v="Kartu Kredit"/>
    <s v="Diproses"/>
  </r>
  <r>
    <n v="10542"/>
    <s v="Erik Wijaya"/>
    <s v="088107835674"/>
    <x v="5"/>
    <x v="2"/>
    <x v="3"/>
    <n v="2"/>
    <n v="150000"/>
    <n v="300000"/>
    <d v="2025-03-09T00:00:00"/>
    <s v="Maret"/>
    <s v="COD"/>
    <s v="Dibatalkan"/>
  </r>
  <r>
    <n v="10596"/>
    <s v="Putri Santoso"/>
    <s v="08162526546"/>
    <x v="5"/>
    <x v="2"/>
    <x v="14"/>
    <n v="4"/>
    <n v="120000"/>
    <n v="480000"/>
    <d v="2025-12-09T00:00:00"/>
    <s v="Desember"/>
    <s v="Kartu Kredit"/>
    <s v="Dikirim"/>
  </r>
  <r>
    <n v="10085"/>
    <s v="Sari Halim"/>
    <s v="088691251778"/>
    <x v="0"/>
    <x v="2"/>
    <x v="16"/>
    <n v="2"/>
    <n v="50000"/>
    <n v="100000"/>
    <d v="2025-07-23T00:00:00"/>
    <s v="Juli"/>
    <s v="Kartu Kredit"/>
    <s v="Retur"/>
  </r>
  <r>
    <n v="10498"/>
    <s v="Fitri Pratama"/>
    <s v="088371576605"/>
    <x v="0"/>
    <x v="3"/>
    <x v="18"/>
    <n v="7"/>
    <n v="45000"/>
    <n v="315000"/>
    <d v="2025-04-25T00:00:00"/>
    <s v="April"/>
    <s v="Kartu Kredit"/>
    <s v="Retur"/>
  </r>
  <r>
    <n v="10033"/>
    <s v="Rian Halim"/>
    <s v="08518233749"/>
    <x v="0"/>
    <x v="0"/>
    <x v="21"/>
    <n v="5"/>
    <n v="50000"/>
    <n v="250000"/>
    <d v="2025-05-09T00:00:00"/>
    <s v="Mei"/>
    <s v="COD"/>
    <s v="Selesai"/>
  </r>
  <r>
    <n v="10412"/>
    <s v="Joko Saputra"/>
    <s v="08090225999"/>
    <x v="6"/>
    <x v="4"/>
    <x v="11"/>
    <n v="7"/>
    <n v="250000"/>
    <n v="1750000"/>
    <d v="2025-07-26T00:00:00"/>
    <s v="Juli"/>
    <s v="QRIS"/>
    <s v="Dibatalkan"/>
  </r>
  <r>
    <n v="10261"/>
    <s v="Oki Lestari"/>
    <s v="088292518812"/>
    <x v="9"/>
    <x v="2"/>
    <x v="2"/>
    <n v="3"/>
    <n v="50000"/>
    <n v="150000"/>
    <d v="2025-12-19T00:00:00"/>
    <s v="Desember"/>
    <s v="QRIS"/>
    <s v="Diproses"/>
  </r>
  <r>
    <n v="10399"/>
    <s v="Andi Simatupang"/>
    <s v="08931109193"/>
    <x v="8"/>
    <x v="2"/>
    <x v="3"/>
    <n v="2"/>
    <n v="75000"/>
    <n v="150000"/>
    <d v="2025-11-30T00:00:00"/>
    <s v="November"/>
    <s v="Transfer Bank"/>
    <s v="Dikirim"/>
  </r>
  <r>
    <n v="10174"/>
    <s v="Oki Setiawan"/>
    <s v="088589944171"/>
    <x v="8"/>
    <x v="2"/>
    <x v="3"/>
    <n v="7"/>
    <n v="199000"/>
    <n v="1393000"/>
    <d v="2025-02-22T00:00:00"/>
    <s v="Februari"/>
    <s v="Transfer Bank"/>
    <s v="Retur"/>
  </r>
  <r>
    <n v="10545"/>
    <s v="Lina Nugroho"/>
    <s v="088375374584"/>
    <x v="9"/>
    <x v="1"/>
    <x v="12"/>
    <n v="2"/>
    <n v="250000"/>
    <n v="500000"/>
    <d v="2025-02-09T00:00:00"/>
    <s v="Februari"/>
    <s v="Transfer Bank"/>
    <s v="Dibatalkan"/>
  </r>
  <r>
    <n v="10215"/>
    <s v="Chandra Santoso"/>
    <s v="088210388629"/>
    <x v="0"/>
    <x v="4"/>
    <x v="10"/>
    <n v="8"/>
    <n v="199000"/>
    <n v="1592000"/>
    <d v="2025-10-30T00:00:00"/>
    <s v="Oktober"/>
    <s v="Transfer Bank"/>
    <s v="Diproses"/>
  </r>
  <r>
    <n v="10510"/>
    <s v="Andi Saputra"/>
    <s v=""/>
    <x v="4"/>
    <x v="1"/>
    <x v="1"/>
    <n v="9"/>
    <n v="150000"/>
    <n v="1350000"/>
    <d v="2025-01-21T00:00:00"/>
    <s v="Januari"/>
    <s v="E-Wallet"/>
    <s v="Selesai"/>
  </r>
  <r>
    <n v="10590"/>
    <s v="Yani Rahayu"/>
    <s v="088447417595"/>
    <x v="4"/>
    <x v="2"/>
    <x v="20"/>
    <n v="7"/>
    <n v="45000"/>
    <n v="315000"/>
    <d v="2025-04-07T00:00:00"/>
    <s v="April"/>
    <s v="E-Wallet"/>
    <s v="Diproses"/>
  </r>
  <r>
    <n v="10155"/>
    <s v="Putri Marpaung"/>
    <s v="08806578759"/>
    <x v="8"/>
    <x v="3"/>
    <x v="18"/>
    <n v="7"/>
    <n v="35000"/>
    <n v="245000"/>
    <d v="2025-03-08T00:00:00"/>
    <s v="Maret"/>
    <s v="COD"/>
    <s v="Retur"/>
  </r>
  <r>
    <n v="10455"/>
    <s v="Rian Rahayu"/>
    <s v="088131290148"/>
    <x v="1"/>
    <x v="4"/>
    <x v="10"/>
    <n v="2"/>
    <n v="50000"/>
    <n v="100000"/>
    <d v="2025-07-28T00:00:00"/>
    <s v="Juli"/>
    <s v="E-Wallet"/>
    <s v="Selesai"/>
  </r>
  <r>
    <n v="10354"/>
    <s v="Hadi Hidayat"/>
    <s v="088436262044"/>
    <x v="4"/>
    <x v="1"/>
    <x v="12"/>
    <n v="3"/>
    <n v="99000"/>
    <n v="297000"/>
    <d v="2025-04-16T00:00:00"/>
    <s v="April"/>
    <s v="QRIS"/>
    <s v="Diproses"/>
  </r>
  <r>
    <n v="10327"/>
    <s v="Fajar Wijaya"/>
    <s v="088504481832"/>
    <x v="6"/>
    <x v="4"/>
    <x v="10"/>
    <n v="3"/>
    <n v="15000"/>
    <n v="45000"/>
    <d v="2025-05-20T00:00:00"/>
    <s v="Mei"/>
    <s v="E-Wallet"/>
    <s v="Dikirim"/>
  </r>
  <r>
    <n v="10348"/>
    <s v="Chandra Siregar"/>
    <s v="088907851586"/>
    <x v="1"/>
    <x v="4"/>
    <x v="5"/>
    <n v="3"/>
    <n v="45000"/>
    <n v="135000"/>
    <d v="2025-05-21T00:00:00"/>
    <s v="Mei"/>
    <s v="Kartu Kredit"/>
    <s v="Dikirim"/>
  </r>
  <r>
    <n v="10351"/>
    <s v="Citra Halim"/>
    <s v="088206345911"/>
    <x v="2"/>
    <x v="2"/>
    <x v="20"/>
    <n v="8"/>
    <n v="15000"/>
    <n v="120000"/>
    <d v="2025-01-27T00:00:00"/>
    <s v="Januari"/>
    <s v="COD"/>
    <s v="Dikirim"/>
  </r>
  <r>
    <n v="10012"/>
    <s v="Budi Wijaya"/>
    <s v="08219136193"/>
    <x v="7"/>
    <x v="2"/>
    <x v="14"/>
    <n v="9"/>
    <n v="150000"/>
    <n v="1350000"/>
    <d v="2025-03-22T00:00:00"/>
    <s v="Maret"/>
    <s v="Transfer Bank"/>
    <s v="Retur"/>
  </r>
  <r>
    <n v="10571"/>
    <s v="Zaki Nugroho"/>
    <s v="088033041662"/>
    <x v="7"/>
    <x v="2"/>
    <x v="16"/>
    <n v="9"/>
    <n v="99000"/>
    <n v="891000"/>
    <d v="2025-06-09T00:00:00"/>
    <s v="Juni"/>
    <s v="Transfer Bank"/>
    <s v="Diproses"/>
  </r>
  <r>
    <n v="10487"/>
    <s v="Kiki Rahayu"/>
    <s v="088971024817"/>
    <x v="2"/>
    <x v="3"/>
    <x v="4"/>
    <n v="4"/>
    <n v="45000"/>
    <n v="180000"/>
    <d v="2025-11-09T00:00:00"/>
    <s v="November"/>
    <s v="QRIS"/>
    <s v="Selesai"/>
  </r>
  <r>
    <n v="10398"/>
    <s v="Kiki Kusuma"/>
    <s v="08804661963"/>
    <x v="7"/>
    <x v="3"/>
    <x v="18"/>
    <n v="10"/>
    <n v="250000"/>
    <n v="2500000"/>
    <d v="2025-08-10T00:00:00"/>
    <s v="Agustus"/>
    <s v="Transfer Bank"/>
    <s v="Selesai"/>
  </r>
  <r>
    <n v="10554"/>
    <s v="Lina Wijaya"/>
    <s v="088536902611"/>
    <x v="9"/>
    <x v="3"/>
    <x v="24"/>
    <n v="10"/>
    <n v="45000"/>
    <n v="450000"/>
    <d v="2025-06-10T00:00:00"/>
    <s v="Juni"/>
    <s v="QRIS"/>
    <s v="Retur"/>
  </r>
  <r>
    <n v="10336"/>
    <s v="Lina Nasution"/>
    <s v="088320101702"/>
    <x v="1"/>
    <x v="2"/>
    <x v="20"/>
    <n v="3"/>
    <n v="120000"/>
    <n v="360000"/>
    <d v="2025-02-25T00:00:00"/>
    <s v="Februari"/>
    <s v="Transfer Bank"/>
    <s v="Dibatalkan"/>
  </r>
  <r>
    <n v="10430"/>
    <s v="Zaki Halim"/>
    <s v="08016923645"/>
    <x v="1"/>
    <x v="1"/>
    <x v="22"/>
    <n v="7"/>
    <n v="120000"/>
    <n v="840000"/>
    <d v="2025-06-07T00:00:00"/>
    <s v="Juni"/>
    <s v="QRIS"/>
    <s v="Selesai"/>
  </r>
  <r>
    <n v="10294"/>
    <s v="Fitri Simatupang"/>
    <s v="088454414967"/>
    <x v="6"/>
    <x v="3"/>
    <x v="24"/>
    <n v="9"/>
    <n v="250000"/>
    <n v="2250000"/>
    <d v="2025-07-01T00:00:00"/>
    <s v="Juli"/>
    <s v="Kartu Kredit"/>
    <s v="Retur"/>
  </r>
  <r>
    <n v="10065"/>
    <s v="Citra Marpaung"/>
    <s v="088218188355"/>
    <x v="3"/>
    <x v="2"/>
    <x v="14"/>
    <n v="9"/>
    <n v="25000"/>
    <n v="225000"/>
    <d v="2025-07-22T00:00:00"/>
    <s v="Juli"/>
    <s v="E-Wallet"/>
    <s v="Dibatalkan"/>
  </r>
  <r>
    <n v="10018"/>
    <s v="Joko Nugroho"/>
    <s v="088685014294"/>
    <x v="7"/>
    <x v="4"/>
    <x v="11"/>
    <n v="6"/>
    <n v="50000"/>
    <n v="300000"/>
    <d v="2025-05-02T00:00:00"/>
    <s v="Mei"/>
    <s v="E-Wallet"/>
    <s v="Dibatalkan"/>
  </r>
  <r>
    <n v="10230"/>
    <s v="Wawan Nugroho"/>
    <s v="088267288574"/>
    <x v="4"/>
    <x v="2"/>
    <x v="14"/>
    <n v="7"/>
    <n v="45000"/>
    <n v="315000"/>
    <d v="2025-03-16T00:00:00"/>
    <s v="Maret"/>
    <s v="COD"/>
    <s v="Dikirim"/>
  </r>
  <r>
    <n v="10226"/>
    <s v="Sari Santoso"/>
    <s v="088334333395"/>
    <x v="6"/>
    <x v="4"/>
    <x v="23"/>
    <n v="5"/>
    <n v="35000"/>
    <n v="175000"/>
    <d v="2025-12-16T00:00:00"/>
    <s v="Desember"/>
    <s v="COD"/>
    <s v="Dikirim"/>
  </r>
  <r>
    <n v="10099"/>
    <s v="Vina Nasution"/>
    <s v="088026206724"/>
    <x v="3"/>
    <x v="0"/>
    <x v="17"/>
    <n v="1"/>
    <n v="25000"/>
    <n v="25000"/>
    <d v="2025-11-30T00:00:00"/>
    <s v="November"/>
    <s v="QRIS"/>
    <s v="Diproses"/>
  </r>
  <r>
    <n v="10325"/>
    <s v="Chandra Rahayu"/>
    <s v="088714627301"/>
    <x v="4"/>
    <x v="2"/>
    <x v="14"/>
    <n v="4"/>
    <n v="15000"/>
    <n v="60000"/>
    <d v="2025-01-02T00:00:00"/>
    <s v="Januari"/>
    <s v="COD"/>
    <s v="Dibatalkan"/>
  </r>
  <r>
    <n v="10473"/>
    <s v="Wawan Hidayat"/>
    <s v="088091660100"/>
    <x v="9"/>
    <x v="1"/>
    <x v="9"/>
    <n v="8"/>
    <n v="250000"/>
    <n v="2000000"/>
    <d v="2025-07-26T00:00:00"/>
    <s v="Juli"/>
    <s v="Transfer Bank"/>
    <s v="Retur"/>
  </r>
  <r>
    <n v="10132"/>
    <s v="Vina Nasution"/>
    <s v="08438427978"/>
    <x v="8"/>
    <x v="1"/>
    <x v="12"/>
    <n v="3"/>
    <n v="25000"/>
    <n v="75000"/>
    <d v="2025-10-17T00:00:00"/>
    <s v="Oktober"/>
    <s v="Transfer Bank"/>
    <s v="Diproses"/>
  </r>
  <r>
    <n v="10424"/>
    <s v="Andi Simatupang"/>
    <s v="088143639102"/>
    <x v="0"/>
    <x v="4"/>
    <x v="23"/>
    <n v="10"/>
    <n v="15000"/>
    <n v="150000"/>
    <d v="2025-04-30T00:00:00"/>
    <s v="April"/>
    <s v="Transfer Bank"/>
    <s v="Retur"/>
  </r>
  <r>
    <n v="10019"/>
    <s v="Umi Marpaung"/>
    <s v=""/>
    <x v="6"/>
    <x v="2"/>
    <x v="3"/>
    <n v="2"/>
    <n v="99000"/>
    <n v="198000"/>
    <d v="2025-10-23T00:00:00"/>
    <s v="Oktober"/>
    <s v="COD"/>
    <s v="Dibatalkan"/>
  </r>
  <r>
    <n v="10212"/>
    <s v="Indah Siregar"/>
    <s v="088723184322"/>
    <x v="0"/>
    <x v="0"/>
    <x v="17"/>
    <n v="8"/>
    <n v="120000"/>
    <n v="960000"/>
    <d v="2025-06-11T00:00:00"/>
    <s v="Juni"/>
    <s v="Transfer Bank"/>
    <s v="Retur"/>
  </r>
  <r>
    <n v="10416"/>
    <s v="Kiki Nasution"/>
    <s v="08263296762"/>
    <x v="8"/>
    <x v="3"/>
    <x v="24"/>
    <n v="5"/>
    <n v="250000"/>
    <n v="1250000"/>
    <d v="2025-08-22T00:00:00"/>
    <s v="Agustus"/>
    <s v="E-Wallet"/>
    <s v="Dibatalkan"/>
  </r>
  <r>
    <n v="10005"/>
    <s v="Vina Santoso"/>
    <s v="088018451462"/>
    <x v="2"/>
    <x v="1"/>
    <x v="12"/>
    <n v="10"/>
    <n v="120000"/>
    <n v="1200000"/>
    <d v="2025-09-28T00:00:00"/>
    <s v="September"/>
    <s v="E-Wallet"/>
    <s v="Retur"/>
  </r>
  <r>
    <n v="10279"/>
    <s v="Andi Pratama"/>
    <s v="088149587020"/>
    <x v="0"/>
    <x v="2"/>
    <x v="20"/>
    <n v="5"/>
    <n v="35000"/>
    <n v="175000"/>
    <d v="2025-12-27T00:00:00"/>
    <s v="Desember"/>
    <s v="E-Wallet"/>
    <s v="Retur"/>
  </r>
  <r>
    <n v="10291"/>
    <s v="Tono Santoso"/>
    <s v="08442944401"/>
    <x v="7"/>
    <x v="0"/>
    <x v="7"/>
    <n v="1"/>
    <n v="50000"/>
    <n v="50000"/>
    <d v="2025-09-06T00:00:00"/>
    <s v="September"/>
    <s v="Transfer Bank"/>
    <s v="Diproses"/>
  </r>
  <r>
    <n v="10185"/>
    <s v="Chandra Santoso"/>
    <s v="088255794155"/>
    <x v="4"/>
    <x v="0"/>
    <x v="21"/>
    <n v="2"/>
    <n v="25000"/>
    <n v="50000"/>
    <d v="2025-01-24T00:00:00"/>
    <s v="Januari"/>
    <s v="Transfer Bank"/>
    <s v="Diproses"/>
  </r>
  <r>
    <n v="10408"/>
    <s v="Indah Kusuma"/>
    <s v="088567766575"/>
    <x v="5"/>
    <x v="1"/>
    <x v="15"/>
    <n v="6"/>
    <n v="45000"/>
    <n v="270000"/>
    <d v="2025-10-26T00:00:00"/>
    <s v="Oktober"/>
    <s v="Transfer Bank"/>
    <s v="Dikirim"/>
  </r>
  <r>
    <n v="10046"/>
    <s v="Dewi Simatupang"/>
    <s v="088586578091"/>
    <x v="9"/>
    <x v="4"/>
    <x v="5"/>
    <n v="8"/>
    <n v="50000"/>
    <n v="400000"/>
    <d v="2025-06-23T00:00:00"/>
    <s v="Juni"/>
    <s v="QRIS"/>
    <s v="Dikirim"/>
  </r>
  <r>
    <n v="10513"/>
    <s v="Erik Wijaya"/>
    <s v="088971252967"/>
    <x v="7"/>
    <x v="3"/>
    <x v="18"/>
    <n v="6"/>
    <n v="199000"/>
    <n v="1194000"/>
    <d v="2025-07-14T00:00:00"/>
    <s v="Juli"/>
    <s v="E-Wallet"/>
    <s v="Diproses"/>
  </r>
  <r>
    <n v="10283"/>
    <s v="Made Kusuma"/>
    <s v="088197199758"/>
    <x v="3"/>
    <x v="2"/>
    <x v="14"/>
    <n v="7"/>
    <n v="199000"/>
    <n v="1393000"/>
    <d v="2025-06-25T00:00:00"/>
    <s v="Juni"/>
    <s v="QRIS"/>
    <s v="Diproses"/>
  </r>
  <r>
    <n v="10190"/>
    <s v="Bella Simatupang"/>
    <s v="088880199488"/>
    <x v="8"/>
    <x v="0"/>
    <x v="0"/>
    <n v="8"/>
    <n v="250000"/>
    <n v="2000000"/>
    <d v="2025-01-10T00:00:00"/>
    <s v="Januari"/>
    <s v="Transfer Bank"/>
    <s v="Dikirim"/>
  </r>
  <r>
    <n v="10447"/>
    <s v="Fajar Siregar"/>
    <s v="08068887189"/>
    <x v="1"/>
    <x v="2"/>
    <x v="2"/>
    <n v="2"/>
    <n v="75000"/>
    <n v="150000"/>
    <d v="2025-02-02T00:00:00"/>
    <s v="Februari"/>
    <s v="QRIS"/>
    <s v="Diproses"/>
  </r>
  <r>
    <n v="10220"/>
    <s v="Yani Wijaya"/>
    <s v=""/>
    <x v="1"/>
    <x v="3"/>
    <x v="24"/>
    <n v="3"/>
    <n v="120000"/>
    <n v="360000"/>
    <d v="2025-11-04T00:00:00"/>
    <s v="November"/>
    <s v="Kartu Kredit"/>
    <s v="Selesai"/>
  </r>
  <r>
    <n v="10587"/>
    <s v="Kiki Gunawan"/>
    <s v=""/>
    <x v="2"/>
    <x v="0"/>
    <x v="7"/>
    <n v="1"/>
    <n v="250000"/>
    <n v="250000"/>
    <d v="2025-07-26T00:00:00"/>
    <s v="Juli"/>
    <s v="Kartu Kredit"/>
    <s v="Selesai"/>
  </r>
  <r>
    <n v="10383"/>
    <s v="Lina Kusuma"/>
    <s v="088922877725"/>
    <x v="1"/>
    <x v="2"/>
    <x v="20"/>
    <n v="10"/>
    <n v="120000"/>
    <n v="1200000"/>
    <d v="2025-06-22T00:00:00"/>
    <s v="Juni"/>
    <s v="Kartu Kredit"/>
    <s v="Dikirim"/>
  </r>
  <r>
    <n v="10050"/>
    <s v="Umi Halim"/>
    <s v="088095214562"/>
    <x v="3"/>
    <x v="0"/>
    <x v="13"/>
    <n v="2"/>
    <n v="250000"/>
    <n v="500000"/>
    <d v="2025-11-27T00:00:00"/>
    <s v="November"/>
    <s v="Transfer Bank"/>
    <s v="Dibatalkan"/>
  </r>
  <r>
    <n v="10552"/>
    <s v="Vina Wijaya"/>
    <s v="08058093511"/>
    <x v="0"/>
    <x v="2"/>
    <x v="20"/>
    <n v="1"/>
    <n v="150000"/>
    <n v="150000"/>
    <d v="2025-04-27T00:00:00"/>
    <s v="April"/>
    <s v="Transfer Bank"/>
    <s v="Dibatalkan"/>
  </r>
  <r>
    <n v="10526"/>
    <s v="Lina Rahayu"/>
    <s v="088075366614"/>
    <x v="0"/>
    <x v="3"/>
    <x v="18"/>
    <n v="3"/>
    <n v="45000"/>
    <n v="135000"/>
    <d v="2025-08-10T00:00:00"/>
    <s v="Agustus"/>
    <s v="QRIS"/>
    <s v="Selesai"/>
  </r>
  <r>
    <n v="10310"/>
    <s v="Fajar Siregar"/>
    <s v="088042177625"/>
    <x v="9"/>
    <x v="4"/>
    <x v="10"/>
    <n v="5"/>
    <n v="45000"/>
    <n v="225000"/>
    <d v="2025-06-21T00:00:00"/>
    <s v="Juni"/>
    <s v="COD"/>
    <s v="Selesai"/>
  </r>
  <r>
    <n v="10267"/>
    <s v="Yani Santoso"/>
    <s v="088268602592"/>
    <x v="5"/>
    <x v="1"/>
    <x v="22"/>
    <n v="2"/>
    <n v="150000"/>
    <n v="300000"/>
    <d v="2025-12-29T00:00:00"/>
    <s v="Desember"/>
    <s v="Kartu Kredit"/>
    <s v="Retur"/>
  </r>
  <r>
    <n v="10584"/>
    <s v="Erik Marpaung"/>
    <s v="088365203758"/>
    <x v="9"/>
    <x v="0"/>
    <x v="21"/>
    <n v="6"/>
    <n v="99000"/>
    <n v="594000"/>
    <d v="2025-04-20T00:00:00"/>
    <s v="April"/>
    <s v="QRIS"/>
    <s v="Retur"/>
  </r>
  <r>
    <n v="10196"/>
    <s v="Ahmad Santoso"/>
    <s v="088838638406"/>
    <x v="4"/>
    <x v="3"/>
    <x v="18"/>
    <n v="4"/>
    <n v="150000"/>
    <n v="600000"/>
    <d v="2025-01-17T00:00:00"/>
    <s v="Januari"/>
    <s v="E-Wallet"/>
    <s v="Dikirim"/>
  </r>
  <r>
    <n v="10119"/>
    <s v="Ahmad Siregar"/>
    <s v="088961943114"/>
    <x v="7"/>
    <x v="0"/>
    <x v="21"/>
    <n v="8"/>
    <n v="45000"/>
    <n v="360000"/>
    <d v="2025-07-02T00:00:00"/>
    <s v="Juli"/>
    <s v="QRIS"/>
    <s v="Dikirim"/>
  </r>
  <r>
    <n v="10443"/>
    <s v="Eka Hidayat"/>
    <s v="088675661844"/>
    <x v="7"/>
    <x v="1"/>
    <x v="12"/>
    <n v="5"/>
    <n v="250000"/>
    <n v="1250000"/>
    <d v="2025-03-23T00:00:00"/>
    <s v="Maret"/>
    <s v="Transfer Bank"/>
    <s v="Retur"/>
  </r>
  <r>
    <n v="10263"/>
    <s v="Lina Kusuma"/>
    <s v="088330604633"/>
    <x v="9"/>
    <x v="2"/>
    <x v="14"/>
    <n v="6"/>
    <n v="35000"/>
    <n v="210000"/>
    <d v="2025-07-18T00:00:00"/>
    <s v="Juli"/>
    <s v="Kartu Kredit"/>
    <s v="Dikirim"/>
  </r>
  <r>
    <n v="10188"/>
    <s v="Lina Siregar"/>
    <s v=""/>
    <x v="0"/>
    <x v="3"/>
    <x v="24"/>
    <n v="3"/>
    <n v="150000"/>
    <n v="450000"/>
    <d v="2025-08-29T00:00:00"/>
    <s v="Agustus"/>
    <s v="Kartu Kredit"/>
    <s v="Diproses"/>
  </r>
  <r>
    <n v="10022"/>
    <s v="Chandra Nugroho"/>
    <s v="088936763201"/>
    <x v="3"/>
    <x v="4"/>
    <x v="5"/>
    <n v="1"/>
    <n v="45000"/>
    <n v="45000"/>
    <d v="2025-09-01T00:00:00"/>
    <s v="September"/>
    <s v="QRIS"/>
    <s v="Selesai"/>
  </r>
  <r>
    <n v="10410"/>
    <s v="Wawan Gunawan"/>
    <s v="088456690782"/>
    <x v="4"/>
    <x v="0"/>
    <x v="13"/>
    <n v="10"/>
    <n v="35000"/>
    <n v="350000"/>
    <d v="2025-10-06T00:00:00"/>
    <s v="Oktober"/>
    <s v="E-Wallet"/>
    <s v="Selesai"/>
  </r>
  <r>
    <n v="10432"/>
    <s v="Made Kusuma"/>
    <s v="088611952436"/>
    <x v="3"/>
    <x v="4"/>
    <x v="11"/>
    <n v="5"/>
    <n v="50000"/>
    <n v="250000"/>
    <d v="2025-09-14T00:00:00"/>
    <s v="September"/>
    <s v="QRIS"/>
    <s v="Dikirim"/>
  </r>
  <r>
    <n v="10309"/>
    <s v="Kiki Marpaung"/>
    <s v="08317970623"/>
    <x v="6"/>
    <x v="3"/>
    <x v="18"/>
    <n v="4"/>
    <n v="25000"/>
    <n v="100000"/>
    <d v="2025-05-02T00:00:00"/>
    <s v="Mei"/>
    <s v="Kartu Kredit"/>
    <s v="Diproses"/>
  </r>
  <r>
    <n v="10080"/>
    <s v="Bella Halim"/>
    <s v="088841616928"/>
    <x v="1"/>
    <x v="1"/>
    <x v="12"/>
    <n v="6"/>
    <n v="35000"/>
    <n v="210000"/>
    <d v="2025-12-09T00:00:00"/>
    <s v="Desember"/>
    <s v="Kartu Kredit"/>
    <s v="Dibatalkan"/>
  </r>
  <r>
    <n v="10524"/>
    <s v="Tono Marpaung"/>
    <s v="08954107272"/>
    <x v="4"/>
    <x v="3"/>
    <x v="8"/>
    <n v="9"/>
    <n v="75000"/>
    <n v="675000"/>
    <d v="2025-10-11T00:00:00"/>
    <s v="Oktober"/>
    <s v="Transfer Bank"/>
    <s v="Dikirim"/>
  </r>
  <r>
    <n v="10391"/>
    <s v="Bella Gunawan"/>
    <s v="088950209700"/>
    <x v="4"/>
    <x v="1"/>
    <x v="22"/>
    <n v="4"/>
    <n v="250000"/>
    <n v="1000000"/>
    <d v="2025-06-14T00:00:00"/>
    <s v="Juni"/>
    <s v="E-Wallet"/>
    <s v="Diproses"/>
  </r>
  <r>
    <n v="10103"/>
    <s v="Nita Nasution"/>
    <s v="088108839822"/>
    <x v="3"/>
    <x v="2"/>
    <x v="16"/>
    <n v="9"/>
    <n v="120000"/>
    <n v="1080000"/>
    <d v="2025-09-28T00:00:00"/>
    <s v="September"/>
    <s v="E-Wallet"/>
    <s v="Selesai"/>
  </r>
  <r>
    <n v="10150"/>
    <s v="Nita Halim"/>
    <s v="088623445655"/>
    <x v="5"/>
    <x v="3"/>
    <x v="8"/>
    <n v="3"/>
    <n v="250000"/>
    <n v="750000"/>
    <d v="2025-07-21T00:00:00"/>
    <s v="Juli"/>
    <s v="Transfer Bank"/>
    <s v="Retur"/>
  </r>
  <r>
    <n v="10039"/>
    <s v="Fajar Rahayu"/>
    <s v="088771906594"/>
    <x v="2"/>
    <x v="1"/>
    <x v="1"/>
    <n v="8"/>
    <n v="50000"/>
    <n v="400000"/>
    <d v="2025-12-25T00:00:00"/>
    <s v="Desember"/>
    <s v="Kartu Kredit"/>
    <s v="Dibatalkan"/>
  </r>
  <r>
    <n v="10381"/>
    <s v="Dewi Hidayat"/>
    <s v="088940821545"/>
    <x v="8"/>
    <x v="4"/>
    <x v="23"/>
    <n v="6"/>
    <n v="25000"/>
    <n v="150000"/>
    <d v="2025-05-11T00:00:00"/>
    <s v="Mei"/>
    <s v="Kartu Kredit"/>
    <s v="Selesai"/>
  </r>
  <r>
    <n v="10334"/>
    <s v="Citra Gunawan"/>
    <s v="088463175207"/>
    <x v="5"/>
    <x v="0"/>
    <x v="21"/>
    <n v="10"/>
    <n v="50000"/>
    <n v="500000"/>
    <d v="2025-12-18T00:00:00"/>
    <s v="Desember"/>
    <s v="Kartu Kredit"/>
    <s v="Diproses"/>
  </r>
  <r>
    <n v="10078"/>
    <s v="Vina Siregar"/>
    <s v="088520585277"/>
    <x v="4"/>
    <x v="3"/>
    <x v="18"/>
    <n v="2"/>
    <n v="75000"/>
    <n v="150000"/>
    <d v="2025-05-04T00:00:00"/>
    <s v="Mei"/>
    <s v="Transfer Bank"/>
    <s v="Retur"/>
  </r>
  <r>
    <n v="10041"/>
    <s v="Nita Nasution"/>
    <s v="088680876038"/>
    <x v="1"/>
    <x v="3"/>
    <x v="4"/>
    <n v="2"/>
    <n v="75000"/>
    <n v="150000"/>
    <d v="2025-05-10T00:00:00"/>
    <s v="Mei"/>
    <s v="E-Wallet"/>
    <s v="Selesai"/>
  </r>
  <r>
    <n v="10582"/>
    <s v="Bella Nugroho"/>
    <s v="088028767548"/>
    <x v="5"/>
    <x v="4"/>
    <x v="6"/>
    <n v="3"/>
    <n v="120000"/>
    <n v="360000"/>
    <d v="2025-01-01T00:00:00"/>
    <s v="Januari"/>
    <s v="E-Wallet"/>
    <s v="Selesai"/>
  </r>
  <r>
    <n v="10536"/>
    <s v="Ahmad Nugroho"/>
    <s v=""/>
    <x v="5"/>
    <x v="1"/>
    <x v="12"/>
    <n v="2"/>
    <n v="15000"/>
    <n v="30000"/>
    <d v="2025-10-11T00:00:00"/>
    <s v="Oktober"/>
    <s v="E-Wallet"/>
    <s v="Selesai"/>
  </r>
  <r>
    <n v="10249"/>
    <s v="Gita Hidayat"/>
    <s v="08612286852"/>
    <x v="3"/>
    <x v="4"/>
    <x v="23"/>
    <n v="9"/>
    <n v="99000"/>
    <n v="891000"/>
    <d v="2025-02-24T00:00:00"/>
    <s v="Februari"/>
    <s v="QRIS"/>
    <s v="Dibatalkan"/>
  </r>
  <r>
    <n v="10469"/>
    <s v="Indah Hidayat"/>
    <s v="088844344812"/>
    <x v="7"/>
    <x v="2"/>
    <x v="2"/>
    <n v="10"/>
    <n v="15000"/>
    <n v="150000"/>
    <d v="2025-09-20T00:00:00"/>
    <s v="September"/>
    <s v="Kartu Kredit"/>
    <s v="Retur"/>
  </r>
  <r>
    <n v="10353"/>
    <s v="Fitri Nugroho"/>
    <s v="088152910867"/>
    <x v="8"/>
    <x v="0"/>
    <x v="13"/>
    <n v="1"/>
    <n v="99000"/>
    <n v="99000"/>
    <d v="2025-11-13T00:00:00"/>
    <s v="November"/>
    <s v="Kartu Kredit"/>
    <s v="Retur"/>
  </r>
  <r>
    <n v="10281"/>
    <s v="Joko Simatupang"/>
    <s v="088577017157"/>
    <x v="3"/>
    <x v="4"/>
    <x v="23"/>
    <n v="5"/>
    <n v="75000"/>
    <n v="375000"/>
    <d v="2025-07-20T00:00:00"/>
    <s v="Juli"/>
    <s v="COD"/>
    <s v="Dibatalkan"/>
  </r>
  <r>
    <n v="10441"/>
    <s v="Tono Saputra"/>
    <s v="088993160875"/>
    <x v="7"/>
    <x v="2"/>
    <x v="2"/>
    <n v="7"/>
    <n v="99000"/>
    <n v="693000"/>
    <d v="2025-06-13T00:00:00"/>
    <s v="Juni"/>
    <s v="E-Wallet"/>
    <s v="Diproses"/>
  </r>
  <r>
    <n v="10505"/>
    <s v="Kiki Lestari"/>
    <s v="088477686342"/>
    <x v="5"/>
    <x v="4"/>
    <x v="10"/>
    <n v="5"/>
    <n v="120000"/>
    <n v="600000"/>
    <d v="2025-04-13T00:00:00"/>
    <s v="April"/>
    <s v="Transfer Bank"/>
    <s v="Dibatalkan"/>
  </r>
  <r>
    <n v="10148"/>
    <s v="Erik Simatupang"/>
    <s v="088493759738"/>
    <x v="4"/>
    <x v="3"/>
    <x v="8"/>
    <n v="8"/>
    <n v="15000"/>
    <n v="120000"/>
    <d v="2025-07-08T00:00:00"/>
    <s v="Juli"/>
    <s v="COD"/>
    <s v="Dibatalkan"/>
  </r>
  <r>
    <n v="10129"/>
    <s v="Yani Hidayat"/>
    <s v="08147859696"/>
    <x v="4"/>
    <x v="3"/>
    <x v="8"/>
    <n v="2"/>
    <n v="150000"/>
    <n v="300000"/>
    <d v="2025-06-04T00:00:00"/>
    <s v="Juni"/>
    <s v="E-Wallet"/>
    <s v="Dibatalka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2">
  <r>
    <n v="10375"/>
    <s v="Nita Marpaung"/>
    <s v="088562606029"/>
    <x v="0"/>
    <x v="0"/>
    <x v="0"/>
    <x v="0"/>
    <n v="35000"/>
    <n v="280000"/>
    <d v="2025-01-06T00:00:00"/>
    <x v="0"/>
    <x v="0"/>
    <x v="0"/>
  </r>
  <r>
    <n v="10342"/>
    <s v="Fajar Rahayu"/>
    <s v="088963919195"/>
    <x v="1"/>
    <x v="1"/>
    <x v="1"/>
    <x v="1"/>
    <n v="45000"/>
    <n v="405000"/>
    <d v="2025-05-28T00:00:00"/>
    <x v="1"/>
    <x v="1"/>
    <x v="0"/>
  </r>
  <r>
    <n v="10232"/>
    <s v="Dian Hidayat"/>
    <s v="088716947225"/>
    <x v="2"/>
    <x v="2"/>
    <x v="2"/>
    <x v="2"/>
    <n v="75000"/>
    <n v="375000"/>
    <d v="2025-06-16T00:00:00"/>
    <x v="2"/>
    <x v="0"/>
    <x v="1"/>
  </r>
  <r>
    <n v="10144"/>
    <s v="Zaki Nugroho"/>
    <s v="08210202758"/>
    <x v="3"/>
    <x v="1"/>
    <x v="1"/>
    <x v="0"/>
    <n v="199000"/>
    <n v="1592000"/>
    <d v="2025-08-11T00:00:00"/>
    <x v="3"/>
    <x v="2"/>
    <x v="2"/>
  </r>
  <r>
    <n v="10344"/>
    <s v="Putri Hidayat"/>
    <s v="088723246651"/>
    <x v="4"/>
    <x v="2"/>
    <x v="3"/>
    <x v="3"/>
    <n v="199000"/>
    <n v="1393000"/>
    <d v="2025-11-17T00:00:00"/>
    <x v="4"/>
    <x v="2"/>
    <x v="3"/>
  </r>
  <r>
    <n v="10503"/>
    <s v="Fitri Hidayat"/>
    <s v="08657224029"/>
    <x v="5"/>
    <x v="3"/>
    <x v="4"/>
    <x v="4"/>
    <n v="120000"/>
    <n v="240000"/>
    <d v="2025-11-17T00:00:00"/>
    <x v="4"/>
    <x v="2"/>
    <x v="4"/>
  </r>
  <r>
    <n v="10367"/>
    <s v="Eka Saputra"/>
    <s v="088831472760"/>
    <x v="5"/>
    <x v="4"/>
    <x v="5"/>
    <x v="5"/>
    <n v="120000"/>
    <n v="480000"/>
    <d v="2025-11-29T00:00:00"/>
    <x v="4"/>
    <x v="3"/>
    <x v="4"/>
  </r>
  <r>
    <n v="10480"/>
    <s v="Joko Simatupang"/>
    <s v="088065019179"/>
    <x v="0"/>
    <x v="4"/>
    <x v="6"/>
    <x v="5"/>
    <n v="15000"/>
    <n v="60000"/>
    <d v="2025-12-03T00:00:00"/>
    <x v="5"/>
    <x v="2"/>
    <x v="4"/>
  </r>
  <r>
    <n v="10177"/>
    <s v="Zaki Rahayu"/>
    <s v="08999173816"/>
    <x v="6"/>
    <x v="0"/>
    <x v="7"/>
    <x v="2"/>
    <n v="120000"/>
    <n v="600000"/>
    <d v="2025-02-03T00:00:00"/>
    <x v="6"/>
    <x v="4"/>
    <x v="0"/>
  </r>
  <r>
    <n v="10091"/>
    <s v="Rian Simatupang"/>
    <s v="088016245650"/>
    <x v="3"/>
    <x v="0"/>
    <x v="0"/>
    <x v="6"/>
    <n v="50000"/>
    <n v="50000"/>
    <d v="2025-11-09T00:00:00"/>
    <x v="4"/>
    <x v="0"/>
    <x v="1"/>
  </r>
  <r>
    <n v="10008"/>
    <s v="Oki Pratama"/>
    <s v=""/>
    <x v="3"/>
    <x v="0"/>
    <x v="0"/>
    <x v="7"/>
    <n v="150000"/>
    <n v="1500000"/>
    <d v="2025-04-28T00:00:00"/>
    <x v="7"/>
    <x v="0"/>
    <x v="4"/>
  </r>
  <r>
    <n v="10043"/>
    <s v="Bella Nugroho"/>
    <s v="088274846773"/>
    <x v="4"/>
    <x v="3"/>
    <x v="8"/>
    <x v="3"/>
    <n v="25000"/>
    <n v="175000"/>
    <d v="2025-04-26T00:00:00"/>
    <x v="7"/>
    <x v="2"/>
    <x v="1"/>
  </r>
  <r>
    <n v="10598"/>
    <s v="Gita Rahayu"/>
    <s v="088704622681"/>
    <x v="5"/>
    <x v="1"/>
    <x v="9"/>
    <x v="3"/>
    <n v="35000"/>
    <n v="245000"/>
    <d v="2025-05-26T00:00:00"/>
    <x v="1"/>
    <x v="1"/>
    <x v="1"/>
  </r>
  <r>
    <n v="10544"/>
    <s v="Gita Gunawan"/>
    <s v="088030102724"/>
    <x v="7"/>
    <x v="4"/>
    <x v="5"/>
    <x v="7"/>
    <n v="15000"/>
    <n v="150000"/>
    <d v="2025-04-27T00:00:00"/>
    <x v="7"/>
    <x v="4"/>
    <x v="3"/>
  </r>
  <r>
    <n v="10111"/>
    <s v="Gita Hidayat"/>
    <s v="088363854678"/>
    <x v="3"/>
    <x v="0"/>
    <x v="0"/>
    <x v="5"/>
    <n v="45000"/>
    <n v="180000"/>
    <d v="2025-02-03T00:00:00"/>
    <x v="6"/>
    <x v="4"/>
    <x v="4"/>
  </r>
  <r>
    <n v="10051"/>
    <s v="Bella Halim"/>
    <s v="08236851604"/>
    <x v="0"/>
    <x v="4"/>
    <x v="10"/>
    <x v="0"/>
    <n v="50000"/>
    <n v="400000"/>
    <d v="2025-06-23T00:00:00"/>
    <x v="2"/>
    <x v="2"/>
    <x v="1"/>
  </r>
  <r>
    <n v="10097"/>
    <s v="Putri Halim"/>
    <s v="088415747338"/>
    <x v="4"/>
    <x v="3"/>
    <x v="8"/>
    <x v="1"/>
    <n v="99000"/>
    <n v="891000"/>
    <d v="2025-07-22T00:00:00"/>
    <x v="8"/>
    <x v="1"/>
    <x v="4"/>
  </r>
  <r>
    <n v="10569"/>
    <s v="Erik Santoso"/>
    <s v=""/>
    <x v="3"/>
    <x v="3"/>
    <x v="8"/>
    <x v="7"/>
    <n v="75000"/>
    <n v="750000"/>
    <d v="2025-08-03T00:00:00"/>
    <x v="3"/>
    <x v="0"/>
    <x v="3"/>
  </r>
  <r>
    <n v="10040"/>
    <s v="Hadi Saputra"/>
    <s v="088671756551"/>
    <x v="2"/>
    <x v="4"/>
    <x v="11"/>
    <x v="1"/>
    <n v="250000"/>
    <n v="2250000"/>
    <d v="2025-08-15T00:00:00"/>
    <x v="3"/>
    <x v="1"/>
    <x v="4"/>
  </r>
  <r>
    <n v="10397"/>
    <s v="Bella Gunawan"/>
    <s v="088997179110"/>
    <x v="3"/>
    <x v="1"/>
    <x v="9"/>
    <x v="8"/>
    <n v="15000"/>
    <n v="90000"/>
    <d v="2025-06-20T00:00:00"/>
    <x v="2"/>
    <x v="0"/>
    <x v="4"/>
  </r>
  <r>
    <n v="10415"/>
    <s v="Made Hidayat"/>
    <s v="088743027169"/>
    <x v="3"/>
    <x v="1"/>
    <x v="12"/>
    <x v="9"/>
    <n v="199000"/>
    <n v="597000"/>
    <d v="2025-10-22T00:00:00"/>
    <x v="9"/>
    <x v="1"/>
    <x v="3"/>
  </r>
  <r>
    <n v="10172"/>
    <s v="Dian Nasution"/>
    <s v=""/>
    <x v="0"/>
    <x v="0"/>
    <x v="13"/>
    <x v="2"/>
    <n v="25000"/>
    <n v="125000"/>
    <d v="2025-05-26T00:00:00"/>
    <x v="1"/>
    <x v="2"/>
    <x v="1"/>
  </r>
  <r>
    <n v="10518"/>
    <s v="Made Santoso"/>
    <s v="088310094318"/>
    <x v="4"/>
    <x v="2"/>
    <x v="14"/>
    <x v="1"/>
    <n v="99000"/>
    <n v="891000"/>
    <d v="2025-02-25T00:00:00"/>
    <x v="6"/>
    <x v="2"/>
    <x v="4"/>
  </r>
  <r>
    <n v="10231"/>
    <s v="Dian Wijaya"/>
    <s v="088455884506"/>
    <x v="5"/>
    <x v="4"/>
    <x v="5"/>
    <x v="5"/>
    <n v="50000"/>
    <n v="200000"/>
    <d v="2025-01-09T00:00:00"/>
    <x v="0"/>
    <x v="2"/>
    <x v="1"/>
  </r>
  <r>
    <n v="10124"/>
    <s v="Lina Pratama"/>
    <s v="088167243426"/>
    <x v="3"/>
    <x v="2"/>
    <x v="2"/>
    <x v="1"/>
    <n v="15000"/>
    <n v="135000"/>
    <d v="2025-08-25T00:00:00"/>
    <x v="3"/>
    <x v="3"/>
    <x v="1"/>
  </r>
  <r>
    <n v="10195"/>
    <s v="Rian Gunawan"/>
    <s v="088608106200"/>
    <x v="6"/>
    <x v="1"/>
    <x v="15"/>
    <x v="7"/>
    <n v="250000"/>
    <n v="2500000"/>
    <d v="2025-12-30T00:00:00"/>
    <x v="5"/>
    <x v="4"/>
    <x v="3"/>
  </r>
  <r>
    <n v="10095"/>
    <s v="Rian Siregar"/>
    <s v="08368970283"/>
    <x v="3"/>
    <x v="2"/>
    <x v="16"/>
    <x v="5"/>
    <n v="15000"/>
    <n v="60000"/>
    <d v="2025-08-14T00:00:00"/>
    <x v="3"/>
    <x v="1"/>
    <x v="1"/>
  </r>
  <r>
    <n v="10009"/>
    <s v="Hadi Kusuma"/>
    <s v="088997376311"/>
    <x v="6"/>
    <x v="2"/>
    <x v="2"/>
    <x v="2"/>
    <n v="250000"/>
    <n v="1250000"/>
    <d v="2025-06-09T00:00:00"/>
    <x v="2"/>
    <x v="3"/>
    <x v="3"/>
  </r>
  <r>
    <n v="10493"/>
    <s v="Citra Rahayu"/>
    <s v="088423567782"/>
    <x v="1"/>
    <x v="4"/>
    <x v="10"/>
    <x v="9"/>
    <n v="15000"/>
    <n v="45000"/>
    <d v="2025-02-17T00:00:00"/>
    <x v="6"/>
    <x v="4"/>
    <x v="2"/>
  </r>
  <r>
    <n v="10568"/>
    <s v="Gita Marpaung"/>
    <s v="088047350476"/>
    <x v="0"/>
    <x v="0"/>
    <x v="17"/>
    <x v="3"/>
    <n v="99000"/>
    <n v="693000"/>
    <d v="2025-08-15T00:00:00"/>
    <x v="3"/>
    <x v="4"/>
    <x v="1"/>
  </r>
  <r>
    <n v="10372"/>
    <s v="Wawan Santoso"/>
    <s v="08745508428"/>
    <x v="0"/>
    <x v="3"/>
    <x v="18"/>
    <x v="3"/>
    <n v="25000"/>
    <n v="175000"/>
    <d v="2025-11-13T00:00:00"/>
    <x v="4"/>
    <x v="3"/>
    <x v="0"/>
  </r>
  <r>
    <n v="10093"/>
    <s v="Rian Siregar"/>
    <s v="08825952694"/>
    <x v="7"/>
    <x v="3"/>
    <x v="19"/>
    <x v="8"/>
    <n v="120000"/>
    <n v="720000"/>
    <d v="2025-09-23T00:00:00"/>
    <x v="10"/>
    <x v="4"/>
    <x v="4"/>
  </r>
  <r>
    <n v="10269"/>
    <s v="Tono Nasution"/>
    <s v="088830220502"/>
    <x v="1"/>
    <x v="3"/>
    <x v="8"/>
    <x v="7"/>
    <n v="15000"/>
    <n v="150000"/>
    <d v="2025-05-06T00:00:00"/>
    <x v="1"/>
    <x v="0"/>
    <x v="2"/>
  </r>
  <r>
    <n v="10094"/>
    <s v="Rian Nasution"/>
    <s v="088097499309"/>
    <x v="4"/>
    <x v="3"/>
    <x v="18"/>
    <x v="8"/>
    <n v="250000"/>
    <n v="1500000"/>
    <d v="2025-02-26T00:00:00"/>
    <x v="6"/>
    <x v="4"/>
    <x v="3"/>
  </r>
  <r>
    <n v="10167"/>
    <s v="Gita Hidayat"/>
    <s v="088116868548"/>
    <x v="7"/>
    <x v="3"/>
    <x v="4"/>
    <x v="5"/>
    <n v="250000"/>
    <n v="1000000"/>
    <d v="2025-03-17T00:00:00"/>
    <x v="11"/>
    <x v="0"/>
    <x v="2"/>
  </r>
  <r>
    <n v="10277"/>
    <s v="Eka Hidayat"/>
    <s v="088076810409"/>
    <x v="8"/>
    <x v="2"/>
    <x v="20"/>
    <x v="8"/>
    <n v="35000"/>
    <n v="210000"/>
    <d v="2025-02-20T00:00:00"/>
    <x v="6"/>
    <x v="0"/>
    <x v="4"/>
  </r>
  <r>
    <n v="10250"/>
    <s v="Oki Halim"/>
    <s v="088684577600"/>
    <x v="0"/>
    <x v="0"/>
    <x v="21"/>
    <x v="3"/>
    <n v="75000"/>
    <n v="525000"/>
    <d v="2025-11-08T00:00:00"/>
    <x v="4"/>
    <x v="3"/>
    <x v="3"/>
  </r>
  <r>
    <n v="10044"/>
    <s v="Eka Siregar"/>
    <s v="088449972787"/>
    <x v="2"/>
    <x v="4"/>
    <x v="5"/>
    <x v="2"/>
    <n v="99000"/>
    <n v="495000"/>
    <d v="2025-06-24T00:00:00"/>
    <x v="2"/>
    <x v="0"/>
    <x v="2"/>
  </r>
  <r>
    <n v="10274"/>
    <s v="Kiki Siregar"/>
    <s v="08272785760"/>
    <x v="2"/>
    <x v="4"/>
    <x v="6"/>
    <x v="8"/>
    <n v="75000"/>
    <n v="450000"/>
    <d v="2025-11-12T00:00:00"/>
    <x v="4"/>
    <x v="4"/>
    <x v="1"/>
  </r>
  <r>
    <n v="10181"/>
    <s v="Zaki Gunawan"/>
    <s v="088230982150"/>
    <x v="9"/>
    <x v="1"/>
    <x v="22"/>
    <x v="5"/>
    <n v="35000"/>
    <n v="140000"/>
    <d v="2025-07-26T00:00:00"/>
    <x v="8"/>
    <x v="2"/>
    <x v="4"/>
  </r>
  <r>
    <n v="10031"/>
    <s v="Chandra Kusuma"/>
    <s v="088527354549"/>
    <x v="8"/>
    <x v="1"/>
    <x v="15"/>
    <x v="7"/>
    <n v="250000"/>
    <n v="2500000"/>
    <d v="2025-07-14T00:00:00"/>
    <x v="8"/>
    <x v="1"/>
    <x v="0"/>
  </r>
  <r>
    <n v="10179"/>
    <s v="Ahmad Santoso"/>
    <s v=""/>
    <x v="5"/>
    <x v="2"/>
    <x v="14"/>
    <x v="3"/>
    <n v="99000"/>
    <n v="693000"/>
    <d v="2025-08-08T00:00:00"/>
    <x v="3"/>
    <x v="4"/>
    <x v="1"/>
  </r>
  <r>
    <n v="10400"/>
    <s v="Vina Setiawan"/>
    <s v="088968549822"/>
    <x v="1"/>
    <x v="2"/>
    <x v="14"/>
    <x v="9"/>
    <n v="45000"/>
    <n v="135000"/>
    <d v="2025-12-03T00:00:00"/>
    <x v="5"/>
    <x v="2"/>
    <x v="0"/>
  </r>
  <r>
    <n v="10444"/>
    <s v="Made Pratama"/>
    <s v="088742333059"/>
    <x v="6"/>
    <x v="3"/>
    <x v="18"/>
    <x v="0"/>
    <n v="250000"/>
    <n v="2000000"/>
    <d v="2025-03-25T00:00:00"/>
    <x v="11"/>
    <x v="0"/>
    <x v="4"/>
  </r>
  <r>
    <n v="10403"/>
    <s v="Zaki Gunawan"/>
    <s v="088247395003"/>
    <x v="3"/>
    <x v="4"/>
    <x v="5"/>
    <x v="8"/>
    <n v="15000"/>
    <n v="90000"/>
    <d v="2025-07-02T00:00:00"/>
    <x v="8"/>
    <x v="1"/>
    <x v="0"/>
  </r>
  <r>
    <n v="10382"/>
    <s v="Putri Saputra"/>
    <s v=""/>
    <x v="9"/>
    <x v="1"/>
    <x v="1"/>
    <x v="2"/>
    <n v="50000"/>
    <n v="250000"/>
    <d v="2025-04-21T00:00:00"/>
    <x v="7"/>
    <x v="3"/>
    <x v="1"/>
  </r>
  <r>
    <n v="10576"/>
    <s v="Umi Marpaung"/>
    <s v="088788116162"/>
    <x v="4"/>
    <x v="4"/>
    <x v="23"/>
    <x v="0"/>
    <n v="150000"/>
    <n v="1200000"/>
    <d v="2025-09-13T00:00:00"/>
    <x v="10"/>
    <x v="1"/>
    <x v="4"/>
  </r>
  <r>
    <n v="10321"/>
    <s v="Erik Rahayu"/>
    <s v="08069375150"/>
    <x v="9"/>
    <x v="1"/>
    <x v="22"/>
    <x v="4"/>
    <n v="120000"/>
    <n v="240000"/>
    <d v="2025-01-21T00:00:00"/>
    <x v="0"/>
    <x v="3"/>
    <x v="3"/>
  </r>
  <r>
    <n v="10409"/>
    <s v="Andi Santoso"/>
    <s v="088431115083"/>
    <x v="3"/>
    <x v="3"/>
    <x v="18"/>
    <x v="4"/>
    <n v="50000"/>
    <n v="100000"/>
    <d v="2025-09-14T00:00:00"/>
    <x v="10"/>
    <x v="0"/>
    <x v="3"/>
  </r>
  <r>
    <n v="10520"/>
    <s v="Kiki Kusuma"/>
    <s v=""/>
    <x v="9"/>
    <x v="1"/>
    <x v="9"/>
    <x v="6"/>
    <n v="250000"/>
    <n v="250000"/>
    <d v="2025-08-31T00:00:00"/>
    <x v="3"/>
    <x v="4"/>
    <x v="2"/>
  </r>
  <r>
    <n v="10004"/>
    <s v="Vina Nasution"/>
    <s v="088965328710"/>
    <x v="8"/>
    <x v="0"/>
    <x v="13"/>
    <x v="5"/>
    <n v="150000"/>
    <n v="600000"/>
    <d v="2025-10-03T00:00:00"/>
    <x v="9"/>
    <x v="1"/>
    <x v="3"/>
  </r>
  <r>
    <n v="10287"/>
    <s v="Eka Saputra"/>
    <s v="088969278687"/>
    <x v="7"/>
    <x v="1"/>
    <x v="12"/>
    <x v="9"/>
    <n v="25000"/>
    <n v="75000"/>
    <d v="2025-12-03T00:00:00"/>
    <x v="5"/>
    <x v="4"/>
    <x v="1"/>
  </r>
  <r>
    <n v="10470"/>
    <s v="Sari Nugroho"/>
    <s v="088059551842"/>
    <x v="7"/>
    <x v="4"/>
    <x v="10"/>
    <x v="9"/>
    <n v="50000"/>
    <n v="150000"/>
    <d v="2025-01-27T00:00:00"/>
    <x v="0"/>
    <x v="3"/>
    <x v="4"/>
  </r>
  <r>
    <n v="10154"/>
    <s v="Budi Santoso"/>
    <s v="088244720999"/>
    <x v="1"/>
    <x v="1"/>
    <x v="12"/>
    <x v="6"/>
    <n v="99000"/>
    <n v="99000"/>
    <d v="2025-12-16T00:00:00"/>
    <x v="5"/>
    <x v="4"/>
    <x v="4"/>
  </r>
  <r>
    <n v="10562"/>
    <s v="Eka Pratama"/>
    <s v=""/>
    <x v="0"/>
    <x v="4"/>
    <x v="5"/>
    <x v="7"/>
    <n v="15000"/>
    <n v="150000"/>
    <d v="2025-04-10T00:00:00"/>
    <x v="7"/>
    <x v="0"/>
    <x v="4"/>
  </r>
  <r>
    <n v="10547"/>
    <s v="Hadi Simatupang"/>
    <s v="088104967066"/>
    <x v="5"/>
    <x v="1"/>
    <x v="1"/>
    <x v="2"/>
    <n v="50000"/>
    <n v="250000"/>
    <d v="2025-10-29T00:00:00"/>
    <x v="9"/>
    <x v="4"/>
    <x v="2"/>
  </r>
  <r>
    <n v="10481"/>
    <s v="Eka Halim"/>
    <s v="088847657041"/>
    <x v="5"/>
    <x v="3"/>
    <x v="24"/>
    <x v="7"/>
    <n v="99000"/>
    <n v="990000"/>
    <d v="2025-03-18T00:00:00"/>
    <x v="11"/>
    <x v="3"/>
    <x v="1"/>
  </r>
  <r>
    <n v="10373"/>
    <s v="Yani Wijaya"/>
    <s v="088135247871"/>
    <x v="8"/>
    <x v="3"/>
    <x v="8"/>
    <x v="7"/>
    <n v="25000"/>
    <n v="250000"/>
    <d v="2025-10-15T00:00:00"/>
    <x v="9"/>
    <x v="2"/>
    <x v="3"/>
  </r>
  <r>
    <n v="10386"/>
    <s v="Budi Nasution"/>
    <s v="088182422412"/>
    <x v="6"/>
    <x v="4"/>
    <x v="11"/>
    <x v="6"/>
    <n v="150000"/>
    <n v="150000"/>
    <d v="2025-06-12T00:00:00"/>
    <x v="2"/>
    <x v="4"/>
    <x v="2"/>
  </r>
  <r>
    <n v="10163"/>
    <s v="Vina Santoso"/>
    <s v="08844431069"/>
    <x v="1"/>
    <x v="3"/>
    <x v="24"/>
    <x v="8"/>
    <n v="45000"/>
    <n v="270000"/>
    <d v="2025-04-08T00:00:00"/>
    <x v="7"/>
    <x v="4"/>
    <x v="3"/>
  </r>
  <r>
    <n v="10388"/>
    <s v="Rian Siregar"/>
    <s v="088304891382"/>
    <x v="4"/>
    <x v="0"/>
    <x v="21"/>
    <x v="1"/>
    <n v="99000"/>
    <n v="891000"/>
    <d v="2025-02-03T00:00:00"/>
    <x v="6"/>
    <x v="4"/>
    <x v="0"/>
  </r>
  <r>
    <n v="10361"/>
    <s v="Kiki Wijaya"/>
    <s v="088189616423"/>
    <x v="8"/>
    <x v="2"/>
    <x v="2"/>
    <x v="5"/>
    <n v="15000"/>
    <n v="60000"/>
    <d v="2025-11-26T00:00:00"/>
    <x v="4"/>
    <x v="1"/>
    <x v="2"/>
  </r>
  <r>
    <n v="10355"/>
    <s v="Oki Nugroho"/>
    <s v="088669411800"/>
    <x v="2"/>
    <x v="1"/>
    <x v="1"/>
    <x v="6"/>
    <n v="120000"/>
    <n v="120000"/>
    <d v="2025-03-10T00:00:00"/>
    <x v="11"/>
    <x v="1"/>
    <x v="1"/>
  </r>
  <r>
    <n v="10229"/>
    <s v="Dian Setiawan"/>
    <s v="088365564729"/>
    <x v="0"/>
    <x v="4"/>
    <x v="10"/>
    <x v="0"/>
    <n v="199000"/>
    <n v="1592000"/>
    <d v="2025-06-25T00:00:00"/>
    <x v="2"/>
    <x v="1"/>
    <x v="4"/>
  </r>
  <r>
    <n v="10511"/>
    <s v="Chandra Marpaung"/>
    <s v=""/>
    <x v="4"/>
    <x v="0"/>
    <x v="21"/>
    <x v="4"/>
    <n v="150000"/>
    <n v="300000"/>
    <d v="2025-10-06T00:00:00"/>
    <x v="9"/>
    <x v="4"/>
    <x v="3"/>
  </r>
  <r>
    <n v="10106"/>
    <s v="Dewi Santoso"/>
    <s v="088633752431"/>
    <x v="1"/>
    <x v="4"/>
    <x v="6"/>
    <x v="6"/>
    <n v="15000"/>
    <n v="15000"/>
    <d v="2025-06-02T00:00:00"/>
    <x v="2"/>
    <x v="4"/>
    <x v="3"/>
  </r>
  <r>
    <n v="10406"/>
    <s v="Bella Lestari"/>
    <s v="088912868578"/>
    <x v="3"/>
    <x v="0"/>
    <x v="13"/>
    <x v="1"/>
    <n v="199000"/>
    <n v="1791000"/>
    <d v="2025-09-08T00:00:00"/>
    <x v="10"/>
    <x v="3"/>
    <x v="0"/>
  </r>
  <r>
    <n v="10599"/>
    <s v="Lina Pratama"/>
    <s v="08660464197"/>
    <x v="7"/>
    <x v="0"/>
    <x v="13"/>
    <x v="7"/>
    <n v="150000"/>
    <n v="1500000"/>
    <d v="2025-07-16T00:00:00"/>
    <x v="8"/>
    <x v="4"/>
    <x v="0"/>
  </r>
  <r>
    <n v="10495"/>
    <s v="Fitri Lestari"/>
    <s v="088910336829"/>
    <x v="6"/>
    <x v="1"/>
    <x v="22"/>
    <x v="1"/>
    <n v="15000"/>
    <n v="135000"/>
    <d v="2025-08-19T00:00:00"/>
    <x v="3"/>
    <x v="3"/>
    <x v="1"/>
  </r>
  <r>
    <n v="10032"/>
    <s v="Andi Hidayat"/>
    <s v="088014363495"/>
    <x v="3"/>
    <x v="1"/>
    <x v="12"/>
    <x v="1"/>
    <n v="45000"/>
    <n v="405000"/>
    <d v="2025-12-20T00:00:00"/>
    <x v="5"/>
    <x v="4"/>
    <x v="1"/>
  </r>
  <r>
    <n v="10202"/>
    <s v="Yani Gunawan"/>
    <s v="08667665061"/>
    <x v="5"/>
    <x v="3"/>
    <x v="19"/>
    <x v="2"/>
    <n v="150000"/>
    <n v="750000"/>
    <d v="2025-06-02T00:00:00"/>
    <x v="2"/>
    <x v="0"/>
    <x v="4"/>
  </r>
  <r>
    <n v="10198"/>
    <s v="Made Wijaya"/>
    <s v="08202590947"/>
    <x v="4"/>
    <x v="0"/>
    <x v="13"/>
    <x v="9"/>
    <n v="199000"/>
    <n v="597000"/>
    <d v="2025-05-11T00:00:00"/>
    <x v="1"/>
    <x v="2"/>
    <x v="2"/>
  </r>
  <r>
    <n v="10341"/>
    <s v="Budi Simatupang"/>
    <s v="08659171357"/>
    <x v="2"/>
    <x v="1"/>
    <x v="22"/>
    <x v="6"/>
    <n v="120000"/>
    <n v="120000"/>
    <d v="2025-10-29T00:00:00"/>
    <x v="9"/>
    <x v="2"/>
    <x v="2"/>
  </r>
  <r>
    <n v="10420"/>
    <s v="Fajar Kusuma"/>
    <s v="088081647090"/>
    <x v="4"/>
    <x v="1"/>
    <x v="22"/>
    <x v="9"/>
    <n v="45000"/>
    <n v="135000"/>
    <d v="2025-01-18T00:00:00"/>
    <x v="0"/>
    <x v="0"/>
    <x v="4"/>
  </r>
  <r>
    <n v="10081"/>
    <s v="Dewi Kusuma"/>
    <s v="088596401658"/>
    <x v="4"/>
    <x v="1"/>
    <x v="15"/>
    <x v="3"/>
    <n v="35000"/>
    <n v="245000"/>
    <d v="2025-12-20T00:00:00"/>
    <x v="5"/>
    <x v="4"/>
    <x v="2"/>
  </r>
  <r>
    <n v="10017"/>
    <s v="Erik Marpaung"/>
    <s v="088342160733"/>
    <x v="9"/>
    <x v="4"/>
    <x v="6"/>
    <x v="3"/>
    <n v="15000"/>
    <n v="105000"/>
    <d v="2025-02-04T00:00:00"/>
    <x v="6"/>
    <x v="1"/>
    <x v="1"/>
  </r>
  <r>
    <n v="10490"/>
    <s v="Dian Pratama"/>
    <s v="088787112166"/>
    <x v="1"/>
    <x v="2"/>
    <x v="14"/>
    <x v="4"/>
    <n v="45000"/>
    <n v="90000"/>
    <d v="2025-07-18T00:00:00"/>
    <x v="8"/>
    <x v="4"/>
    <x v="0"/>
  </r>
  <r>
    <n v="10052"/>
    <s v="Oki Halim"/>
    <s v="088931746120"/>
    <x v="2"/>
    <x v="0"/>
    <x v="0"/>
    <x v="5"/>
    <n v="120000"/>
    <n v="480000"/>
    <d v="2025-01-13T00:00:00"/>
    <x v="0"/>
    <x v="0"/>
    <x v="3"/>
  </r>
  <r>
    <n v="10448"/>
    <s v="Ahmad Hidayat"/>
    <s v="088321840118"/>
    <x v="9"/>
    <x v="4"/>
    <x v="5"/>
    <x v="1"/>
    <n v="120000"/>
    <n v="1080000"/>
    <d v="2025-10-06T00:00:00"/>
    <x v="9"/>
    <x v="2"/>
    <x v="0"/>
  </r>
  <r>
    <n v="10178"/>
    <s v="Nita Wijaya"/>
    <s v="088752500743"/>
    <x v="9"/>
    <x v="0"/>
    <x v="21"/>
    <x v="7"/>
    <n v="120000"/>
    <n v="1200000"/>
    <d v="2025-03-15T00:00:00"/>
    <x v="11"/>
    <x v="1"/>
    <x v="4"/>
  </r>
  <r>
    <n v="10101"/>
    <s v="Fajar Siregar"/>
    <s v="08046374549"/>
    <x v="0"/>
    <x v="3"/>
    <x v="4"/>
    <x v="4"/>
    <n v="35000"/>
    <n v="70000"/>
    <d v="2025-03-13T00:00:00"/>
    <x v="11"/>
    <x v="4"/>
    <x v="2"/>
  </r>
  <r>
    <n v="10276"/>
    <s v="Yani Gunawan"/>
    <s v="088215031780"/>
    <x v="4"/>
    <x v="3"/>
    <x v="4"/>
    <x v="5"/>
    <n v="75000"/>
    <n v="300000"/>
    <d v="2025-08-20T00:00:00"/>
    <x v="3"/>
    <x v="1"/>
    <x v="4"/>
  </r>
  <r>
    <n v="10423"/>
    <s v="Lina Wijaya"/>
    <s v="088195625257"/>
    <x v="3"/>
    <x v="0"/>
    <x v="7"/>
    <x v="0"/>
    <n v="25000"/>
    <n v="200000"/>
    <d v="2025-12-31T00:00:00"/>
    <x v="5"/>
    <x v="0"/>
    <x v="3"/>
  </r>
  <r>
    <n v="10385"/>
    <s v="Ahmad Wijaya"/>
    <s v="088433971895"/>
    <x v="0"/>
    <x v="1"/>
    <x v="15"/>
    <x v="6"/>
    <n v="25000"/>
    <n v="25000"/>
    <d v="2025-12-04T00:00:00"/>
    <x v="5"/>
    <x v="0"/>
    <x v="4"/>
  </r>
  <r>
    <n v="10419"/>
    <s v="Yani Lestari"/>
    <s v="08422091241"/>
    <x v="8"/>
    <x v="1"/>
    <x v="1"/>
    <x v="4"/>
    <n v="150000"/>
    <n v="300000"/>
    <d v="2025-12-03T00:00:00"/>
    <x v="5"/>
    <x v="3"/>
    <x v="1"/>
  </r>
  <r>
    <n v="10436"/>
    <s v="Lina Siregar"/>
    <s v=""/>
    <x v="2"/>
    <x v="0"/>
    <x v="17"/>
    <x v="4"/>
    <n v="15000"/>
    <n v="30000"/>
    <d v="2025-08-22T00:00:00"/>
    <x v="3"/>
    <x v="4"/>
    <x v="4"/>
  </r>
  <r>
    <n v="10472"/>
    <s v="Vina Siregar"/>
    <s v="088239724042"/>
    <x v="8"/>
    <x v="1"/>
    <x v="22"/>
    <x v="9"/>
    <n v="120000"/>
    <n v="360000"/>
    <d v="2025-02-17T00:00:00"/>
    <x v="6"/>
    <x v="4"/>
    <x v="4"/>
  </r>
  <r>
    <n v="10461"/>
    <s v="Nita Gunawan"/>
    <s v="088256862110"/>
    <x v="9"/>
    <x v="4"/>
    <x v="11"/>
    <x v="2"/>
    <n v="25000"/>
    <n v="125000"/>
    <d v="2025-08-04T00:00:00"/>
    <x v="3"/>
    <x v="4"/>
    <x v="3"/>
  </r>
  <r>
    <n v="10042"/>
    <s v="Ahmad Nasution"/>
    <s v=""/>
    <x v="7"/>
    <x v="0"/>
    <x v="7"/>
    <x v="9"/>
    <n v="50000"/>
    <n v="150000"/>
    <d v="2025-08-13T00:00:00"/>
    <x v="3"/>
    <x v="4"/>
    <x v="0"/>
  </r>
  <r>
    <n v="10365"/>
    <s v="Indah Kusuma"/>
    <s v="088459779452"/>
    <x v="7"/>
    <x v="1"/>
    <x v="9"/>
    <x v="9"/>
    <n v="99000"/>
    <n v="297000"/>
    <d v="2025-01-24T00:00:00"/>
    <x v="0"/>
    <x v="2"/>
    <x v="1"/>
  </r>
  <r>
    <n v="10206"/>
    <s v="Indah Pratama"/>
    <s v="088135775949"/>
    <x v="2"/>
    <x v="0"/>
    <x v="17"/>
    <x v="9"/>
    <n v="250000"/>
    <n v="750000"/>
    <d v="2025-12-02T00:00:00"/>
    <x v="5"/>
    <x v="3"/>
    <x v="0"/>
  </r>
  <r>
    <n v="10047"/>
    <s v="Hadi Kusuma"/>
    <s v="088455623869"/>
    <x v="5"/>
    <x v="3"/>
    <x v="4"/>
    <x v="9"/>
    <n v="50000"/>
    <n v="150000"/>
    <d v="2025-01-15T00:00:00"/>
    <x v="0"/>
    <x v="2"/>
    <x v="2"/>
  </r>
  <r>
    <n v="10347"/>
    <s v="Dian Kusuma"/>
    <s v="088898471391"/>
    <x v="6"/>
    <x v="3"/>
    <x v="4"/>
    <x v="9"/>
    <n v="45000"/>
    <n v="135000"/>
    <d v="2025-02-27T00:00:00"/>
    <x v="6"/>
    <x v="0"/>
    <x v="3"/>
  </r>
  <r>
    <n v="10561"/>
    <s v="Chandra Hidayat"/>
    <s v="088477324491"/>
    <x v="0"/>
    <x v="2"/>
    <x v="3"/>
    <x v="8"/>
    <n v="25000"/>
    <n v="150000"/>
    <d v="2025-06-27T00:00:00"/>
    <x v="2"/>
    <x v="1"/>
    <x v="4"/>
  </r>
  <r>
    <n v="10460"/>
    <s v="Putri Siregar"/>
    <s v="088560531340"/>
    <x v="4"/>
    <x v="1"/>
    <x v="9"/>
    <x v="1"/>
    <n v="50000"/>
    <n v="450000"/>
    <d v="2025-02-25T00:00:00"/>
    <x v="6"/>
    <x v="4"/>
    <x v="1"/>
  </r>
  <r>
    <n v="10454"/>
    <s v="Bella Siregar"/>
    <s v="088405396727"/>
    <x v="2"/>
    <x v="0"/>
    <x v="0"/>
    <x v="1"/>
    <n v="35000"/>
    <n v="315000"/>
    <d v="2025-12-03T00:00:00"/>
    <x v="5"/>
    <x v="3"/>
    <x v="4"/>
  </r>
  <r>
    <n v="10301"/>
    <s v="Wawan Rahayu"/>
    <s v="088280634615"/>
    <x v="7"/>
    <x v="3"/>
    <x v="18"/>
    <x v="1"/>
    <n v="75000"/>
    <n v="675000"/>
    <d v="2025-11-02T00:00:00"/>
    <x v="4"/>
    <x v="4"/>
    <x v="2"/>
  </r>
  <r>
    <n v="10092"/>
    <s v="Tono Hidayat"/>
    <s v="088121655852"/>
    <x v="0"/>
    <x v="3"/>
    <x v="4"/>
    <x v="1"/>
    <n v="120000"/>
    <n v="1080000"/>
    <d v="2025-10-09T00:00:00"/>
    <x v="9"/>
    <x v="1"/>
    <x v="3"/>
  </r>
  <r>
    <n v="10531"/>
    <s v="Citra Saputra"/>
    <s v="08760146723"/>
    <x v="2"/>
    <x v="2"/>
    <x v="16"/>
    <x v="5"/>
    <n v="45000"/>
    <n v="180000"/>
    <d v="2025-02-23T00:00:00"/>
    <x v="6"/>
    <x v="4"/>
    <x v="0"/>
  </r>
  <r>
    <n v="10221"/>
    <s v="Lina Kusuma"/>
    <s v=""/>
    <x v="7"/>
    <x v="1"/>
    <x v="12"/>
    <x v="7"/>
    <n v="250000"/>
    <n v="2500000"/>
    <d v="2025-09-24T00:00:00"/>
    <x v="10"/>
    <x v="1"/>
    <x v="3"/>
  </r>
  <r>
    <n v="10338"/>
    <s v="Erik Pratama"/>
    <s v="08427624671"/>
    <x v="8"/>
    <x v="1"/>
    <x v="12"/>
    <x v="0"/>
    <n v="15000"/>
    <n v="120000"/>
    <d v="2025-01-17T00:00:00"/>
    <x v="0"/>
    <x v="3"/>
    <x v="3"/>
  </r>
  <r>
    <n v="10265"/>
    <s v="Oki Simatupang"/>
    <s v="088764472649"/>
    <x v="3"/>
    <x v="2"/>
    <x v="14"/>
    <x v="6"/>
    <n v="150000"/>
    <n v="150000"/>
    <d v="2025-07-18T00:00:00"/>
    <x v="8"/>
    <x v="0"/>
    <x v="0"/>
  </r>
  <r>
    <n v="10083"/>
    <s v="Vina Setiawan"/>
    <s v="088739473121"/>
    <x v="5"/>
    <x v="4"/>
    <x v="11"/>
    <x v="1"/>
    <n v="99000"/>
    <n v="891000"/>
    <d v="2025-10-15T00:00:00"/>
    <x v="9"/>
    <x v="2"/>
    <x v="2"/>
  </r>
  <r>
    <n v="10060"/>
    <s v="Wawan Nasution"/>
    <s v="088998094024"/>
    <x v="5"/>
    <x v="2"/>
    <x v="20"/>
    <x v="4"/>
    <n v="50000"/>
    <n v="100000"/>
    <d v="2025-10-21T00:00:00"/>
    <x v="9"/>
    <x v="3"/>
    <x v="1"/>
  </r>
  <r>
    <n v="10066"/>
    <s v="Dewi Lestari"/>
    <s v="088979955271"/>
    <x v="3"/>
    <x v="2"/>
    <x v="2"/>
    <x v="4"/>
    <n v="35000"/>
    <n v="70000"/>
    <d v="2025-11-18T00:00:00"/>
    <x v="4"/>
    <x v="4"/>
    <x v="1"/>
  </r>
  <r>
    <n v="10152"/>
    <s v="Chandra Wijaya"/>
    <s v="088206788317"/>
    <x v="6"/>
    <x v="3"/>
    <x v="19"/>
    <x v="8"/>
    <n v="99000"/>
    <n v="594000"/>
    <d v="2025-09-20T00:00:00"/>
    <x v="10"/>
    <x v="2"/>
    <x v="2"/>
  </r>
  <r>
    <n v="10278"/>
    <s v="Oki Wijaya"/>
    <s v="088448571422"/>
    <x v="0"/>
    <x v="0"/>
    <x v="0"/>
    <x v="7"/>
    <n v="50000"/>
    <n v="500000"/>
    <d v="2025-11-24T00:00:00"/>
    <x v="4"/>
    <x v="3"/>
    <x v="2"/>
  </r>
  <r>
    <n v="10543"/>
    <s v="Fitri Wijaya"/>
    <s v="088266821719"/>
    <x v="3"/>
    <x v="2"/>
    <x v="14"/>
    <x v="6"/>
    <n v="150000"/>
    <n v="150000"/>
    <d v="2025-04-09T00:00:00"/>
    <x v="7"/>
    <x v="2"/>
    <x v="1"/>
  </r>
  <r>
    <n v="10468"/>
    <s v="Bella Saputra"/>
    <s v="088881278686"/>
    <x v="2"/>
    <x v="4"/>
    <x v="10"/>
    <x v="6"/>
    <n v="199000"/>
    <n v="199000"/>
    <d v="2025-02-01T00:00:00"/>
    <x v="6"/>
    <x v="3"/>
    <x v="1"/>
  </r>
  <r>
    <n v="10117"/>
    <s v="Citra Nasution"/>
    <s v="08148902503"/>
    <x v="6"/>
    <x v="3"/>
    <x v="8"/>
    <x v="6"/>
    <n v="45000"/>
    <n v="45000"/>
    <d v="2025-04-19T00:00:00"/>
    <x v="7"/>
    <x v="0"/>
    <x v="1"/>
  </r>
  <r>
    <n v="10109"/>
    <s v="Eka Rahayu"/>
    <s v="088866882634"/>
    <x v="9"/>
    <x v="1"/>
    <x v="9"/>
    <x v="5"/>
    <n v="50000"/>
    <n v="200000"/>
    <d v="2025-12-29T00:00:00"/>
    <x v="5"/>
    <x v="3"/>
    <x v="1"/>
  </r>
  <r>
    <n v="10201"/>
    <s v="Putri Wijaya"/>
    <s v="088336138612"/>
    <x v="3"/>
    <x v="2"/>
    <x v="16"/>
    <x v="4"/>
    <n v="35000"/>
    <n v="70000"/>
    <d v="2025-10-03T00:00:00"/>
    <x v="9"/>
    <x v="0"/>
    <x v="0"/>
  </r>
  <r>
    <n v="10496"/>
    <s v="Lina Hidayat"/>
    <s v="088766558685"/>
    <x v="2"/>
    <x v="0"/>
    <x v="17"/>
    <x v="6"/>
    <n v="50000"/>
    <n v="50000"/>
    <d v="2025-06-07T00:00:00"/>
    <x v="2"/>
    <x v="0"/>
    <x v="0"/>
  </r>
  <r>
    <n v="10449"/>
    <s v="Sari Santoso"/>
    <s v="088758598831"/>
    <x v="7"/>
    <x v="0"/>
    <x v="0"/>
    <x v="1"/>
    <n v="50000"/>
    <n v="450000"/>
    <d v="2025-12-04T00:00:00"/>
    <x v="5"/>
    <x v="0"/>
    <x v="1"/>
  </r>
  <r>
    <n v="10445"/>
    <s v="Made Marpaung"/>
    <s v="08263013674"/>
    <x v="7"/>
    <x v="0"/>
    <x v="21"/>
    <x v="9"/>
    <n v="15000"/>
    <n v="45000"/>
    <d v="2025-03-02T00:00:00"/>
    <x v="11"/>
    <x v="0"/>
    <x v="2"/>
  </r>
  <r>
    <n v="10233"/>
    <s v="Tono Siregar"/>
    <s v="088647598762"/>
    <x v="5"/>
    <x v="0"/>
    <x v="13"/>
    <x v="8"/>
    <n v="75000"/>
    <n v="450000"/>
    <d v="2025-01-12T00:00:00"/>
    <x v="0"/>
    <x v="1"/>
    <x v="2"/>
  </r>
  <r>
    <n v="10551"/>
    <s v="Putri Hidayat"/>
    <s v="088447232290"/>
    <x v="7"/>
    <x v="3"/>
    <x v="18"/>
    <x v="7"/>
    <n v="150000"/>
    <n v="1500000"/>
    <d v="2025-10-06T00:00:00"/>
    <x v="9"/>
    <x v="2"/>
    <x v="1"/>
  </r>
  <r>
    <n v="10507"/>
    <s v="Oki Santoso"/>
    <s v="088125625313"/>
    <x v="0"/>
    <x v="2"/>
    <x v="14"/>
    <x v="2"/>
    <n v="199000"/>
    <n v="995000"/>
    <d v="2025-11-27T00:00:00"/>
    <x v="4"/>
    <x v="0"/>
    <x v="2"/>
  </r>
  <r>
    <n v="10595"/>
    <s v="Joko Lestari"/>
    <s v="088123361328"/>
    <x v="8"/>
    <x v="4"/>
    <x v="11"/>
    <x v="6"/>
    <n v="250000"/>
    <n v="250000"/>
    <d v="2025-03-17T00:00:00"/>
    <x v="11"/>
    <x v="3"/>
    <x v="4"/>
  </r>
  <r>
    <n v="10572"/>
    <s v="Citra Kusuma"/>
    <s v="088945680447"/>
    <x v="1"/>
    <x v="3"/>
    <x v="8"/>
    <x v="7"/>
    <n v="35000"/>
    <n v="350000"/>
    <d v="2025-02-18T00:00:00"/>
    <x v="6"/>
    <x v="0"/>
    <x v="1"/>
  </r>
  <r>
    <n v="10073"/>
    <s v="Oki Simatupang"/>
    <s v=""/>
    <x v="1"/>
    <x v="2"/>
    <x v="14"/>
    <x v="9"/>
    <n v="45000"/>
    <n v="135000"/>
    <d v="2025-11-06T00:00:00"/>
    <x v="4"/>
    <x v="3"/>
    <x v="2"/>
  </r>
  <r>
    <n v="10463"/>
    <s v="Yani Nugroho"/>
    <s v="088260432609"/>
    <x v="3"/>
    <x v="3"/>
    <x v="8"/>
    <x v="7"/>
    <n v="35000"/>
    <n v="350000"/>
    <d v="2025-07-04T00:00:00"/>
    <x v="8"/>
    <x v="0"/>
    <x v="4"/>
  </r>
  <r>
    <n v="10218"/>
    <s v="Tono Pratama"/>
    <s v="088448695946"/>
    <x v="7"/>
    <x v="4"/>
    <x v="10"/>
    <x v="3"/>
    <n v="75000"/>
    <n v="525000"/>
    <d v="2025-02-24T00:00:00"/>
    <x v="6"/>
    <x v="3"/>
    <x v="1"/>
  </r>
  <r>
    <n v="10482"/>
    <s v="Erik Wijaya"/>
    <s v="08498436241"/>
    <x v="9"/>
    <x v="4"/>
    <x v="5"/>
    <x v="3"/>
    <n v="99000"/>
    <n v="693000"/>
    <d v="2025-12-15T00:00:00"/>
    <x v="5"/>
    <x v="4"/>
    <x v="3"/>
  </r>
  <r>
    <n v="10038"/>
    <s v="Yani Nasution"/>
    <s v="088936183242"/>
    <x v="7"/>
    <x v="0"/>
    <x v="17"/>
    <x v="0"/>
    <n v="25000"/>
    <n v="200000"/>
    <d v="2025-12-18T00:00:00"/>
    <x v="5"/>
    <x v="3"/>
    <x v="2"/>
  </r>
  <r>
    <n v="10139"/>
    <s v="Hadi Simatupang"/>
    <s v="088115542622"/>
    <x v="7"/>
    <x v="0"/>
    <x v="0"/>
    <x v="3"/>
    <n v="35000"/>
    <n v="245000"/>
    <d v="2025-09-02T00:00:00"/>
    <x v="10"/>
    <x v="2"/>
    <x v="4"/>
  </r>
  <r>
    <n v="10026"/>
    <s v="Joko Siregar"/>
    <s v="088656272980"/>
    <x v="0"/>
    <x v="2"/>
    <x v="3"/>
    <x v="5"/>
    <n v="120000"/>
    <n v="480000"/>
    <d v="2025-04-23T00:00:00"/>
    <x v="7"/>
    <x v="1"/>
    <x v="1"/>
  </r>
  <r>
    <n v="10289"/>
    <s v="Dian Setiawan"/>
    <s v="088490580778"/>
    <x v="0"/>
    <x v="2"/>
    <x v="3"/>
    <x v="4"/>
    <n v="45000"/>
    <n v="90000"/>
    <d v="2025-08-30T00:00:00"/>
    <x v="3"/>
    <x v="2"/>
    <x v="3"/>
  </r>
  <r>
    <n v="10271"/>
    <s v="Lina Siregar"/>
    <s v="088833901981"/>
    <x v="1"/>
    <x v="3"/>
    <x v="18"/>
    <x v="0"/>
    <n v="35000"/>
    <n v="280000"/>
    <d v="2025-03-04T00:00:00"/>
    <x v="11"/>
    <x v="1"/>
    <x v="2"/>
  </r>
  <r>
    <n v="10303"/>
    <s v="Dewi Hidayat"/>
    <s v="088079032020"/>
    <x v="8"/>
    <x v="2"/>
    <x v="2"/>
    <x v="7"/>
    <n v="45000"/>
    <n v="450000"/>
    <d v="2025-06-02T00:00:00"/>
    <x v="2"/>
    <x v="2"/>
    <x v="4"/>
  </r>
  <r>
    <n v="10180"/>
    <s v="Gita Halim"/>
    <s v="088168942104"/>
    <x v="6"/>
    <x v="4"/>
    <x v="5"/>
    <x v="6"/>
    <n v="250000"/>
    <n v="250000"/>
    <d v="2025-05-08T00:00:00"/>
    <x v="1"/>
    <x v="3"/>
    <x v="2"/>
  </r>
  <r>
    <n v="10457"/>
    <s v="Fajar Kusuma"/>
    <s v="088538144744"/>
    <x v="9"/>
    <x v="0"/>
    <x v="0"/>
    <x v="3"/>
    <n v="120000"/>
    <n v="840000"/>
    <d v="2025-07-14T00:00:00"/>
    <x v="8"/>
    <x v="3"/>
    <x v="2"/>
  </r>
  <r>
    <n v="10054"/>
    <s v="Oki Nugroho"/>
    <s v="08713900532"/>
    <x v="5"/>
    <x v="0"/>
    <x v="7"/>
    <x v="8"/>
    <n v="15000"/>
    <n v="90000"/>
    <d v="2025-07-23T00:00:00"/>
    <x v="8"/>
    <x v="1"/>
    <x v="4"/>
  </r>
  <r>
    <n v="10059"/>
    <s v="Nita Pratama"/>
    <s v="088604945198"/>
    <x v="9"/>
    <x v="3"/>
    <x v="8"/>
    <x v="1"/>
    <n v="150000"/>
    <n v="1350000"/>
    <d v="2025-06-18T00:00:00"/>
    <x v="2"/>
    <x v="2"/>
    <x v="1"/>
  </r>
  <r>
    <n v="10027"/>
    <s v="Tono Saputra"/>
    <s v="088564641708"/>
    <x v="1"/>
    <x v="1"/>
    <x v="9"/>
    <x v="6"/>
    <n v="50000"/>
    <n v="50000"/>
    <d v="2025-07-14T00:00:00"/>
    <x v="8"/>
    <x v="1"/>
    <x v="4"/>
  </r>
  <r>
    <n v="10245"/>
    <s v="Eka Simatupang"/>
    <s v="08959351863"/>
    <x v="4"/>
    <x v="0"/>
    <x v="21"/>
    <x v="6"/>
    <n v="250000"/>
    <n v="250000"/>
    <d v="2025-09-17T00:00:00"/>
    <x v="10"/>
    <x v="4"/>
    <x v="4"/>
  </r>
  <r>
    <n v="10280"/>
    <s v="Dewi Siregar"/>
    <s v="088538179217"/>
    <x v="5"/>
    <x v="1"/>
    <x v="9"/>
    <x v="7"/>
    <n v="199000"/>
    <n v="1990000"/>
    <d v="2025-11-19T00:00:00"/>
    <x v="4"/>
    <x v="4"/>
    <x v="3"/>
  </r>
  <r>
    <n v="10343"/>
    <s v="Tono Nasution"/>
    <s v="088649878208"/>
    <x v="3"/>
    <x v="3"/>
    <x v="18"/>
    <x v="1"/>
    <n v="50000"/>
    <n v="450000"/>
    <d v="2025-08-10T00:00:00"/>
    <x v="3"/>
    <x v="0"/>
    <x v="2"/>
  </r>
  <r>
    <n v="10293"/>
    <s v="Zaki Halim"/>
    <s v="088836674286"/>
    <x v="4"/>
    <x v="3"/>
    <x v="19"/>
    <x v="0"/>
    <n v="99000"/>
    <n v="792000"/>
    <d v="2025-01-09T00:00:00"/>
    <x v="0"/>
    <x v="1"/>
    <x v="1"/>
  </r>
  <r>
    <n v="10517"/>
    <s v="Lina Setiawan"/>
    <s v="088074510663"/>
    <x v="0"/>
    <x v="0"/>
    <x v="21"/>
    <x v="5"/>
    <n v="35000"/>
    <n v="140000"/>
    <d v="2025-07-23T00:00:00"/>
    <x v="8"/>
    <x v="0"/>
    <x v="1"/>
  </r>
  <r>
    <n v="10024"/>
    <s v="Chandra Setiawan"/>
    <s v="088812236231"/>
    <x v="8"/>
    <x v="4"/>
    <x v="10"/>
    <x v="0"/>
    <n v="25000"/>
    <n v="200000"/>
    <d v="2025-05-27T00:00:00"/>
    <x v="1"/>
    <x v="3"/>
    <x v="2"/>
  </r>
  <r>
    <n v="10529"/>
    <s v="Tono Halim"/>
    <s v="088870104159"/>
    <x v="2"/>
    <x v="2"/>
    <x v="20"/>
    <x v="6"/>
    <n v="99000"/>
    <n v="99000"/>
    <d v="2025-06-03T00:00:00"/>
    <x v="2"/>
    <x v="4"/>
    <x v="0"/>
  </r>
  <r>
    <n v="10541"/>
    <s v="Indah Hidayat"/>
    <s v=""/>
    <x v="7"/>
    <x v="4"/>
    <x v="23"/>
    <x v="8"/>
    <n v="250000"/>
    <n v="1500000"/>
    <d v="2025-02-01T00:00:00"/>
    <x v="6"/>
    <x v="3"/>
    <x v="1"/>
  </r>
  <r>
    <n v="10583"/>
    <s v="Sari Siregar"/>
    <s v="088324268774"/>
    <x v="1"/>
    <x v="1"/>
    <x v="22"/>
    <x v="2"/>
    <n v="150000"/>
    <n v="750000"/>
    <d v="2025-06-12T00:00:00"/>
    <x v="2"/>
    <x v="0"/>
    <x v="0"/>
  </r>
  <r>
    <n v="10494"/>
    <s v="Fitri Siregar"/>
    <s v=""/>
    <x v="0"/>
    <x v="4"/>
    <x v="5"/>
    <x v="7"/>
    <n v="199000"/>
    <n v="1990000"/>
    <d v="2025-03-16T00:00:00"/>
    <x v="11"/>
    <x v="1"/>
    <x v="2"/>
  </r>
  <r>
    <n v="10580"/>
    <s v="Umi Santoso"/>
    <s v="088694596488"/>
    <x v="6"/>
    <x v="2"/>
    <x v="2"/>
    <x v="8"/>
    <n v="250000"/>
    <n v="1500000"/>
    <d v="2025-08-01T00:00:00"/>
    <x v="3"/>
    <x v="3"/>
    <x v="2"/>
  </r>
  <r>
    <n v="10359"/>
    <s v="Putri Simatupang"/>
    <s v="088849939089"/>
    <x v="5"/>
    <x v="4"/>
    <x v="5"/>
    <x v="8"/>
    <n v="25000"/>
    <n v="150000"/>
    <d v="2025-04-15T00:00:00"/>
    <x v="7"/>
    <x v="1"/>
    <x v="4"/>
  </r>
  <r>
    <n v="10120"/>
    <s v="Yani Lestari"/>
    <s v="088126788861"/>
    <x v="6"/>
    <x v="3"/>
    <x v="24"/>
    <x v="6"/>
    <n v="50000"/>
    <n v="50000"/>
    <d v="2025-08-16T00:00:00"/>
    <x v="3"/>
    <x v="1"/>
    <x v="2"/>
  </r>
  <r>
    <n v="10130"/>
    <s v="Lina Halim"/>
    <s v="088412528669"/>
    <x v="2"/>
    <x v="0"/>
    <x v="7"/>
    <x v="7"/>
    <n v="25000"/>
    <n v="250000"/>
    <d v="2025-12-11T00:00:00"/>
    <x v="5"/>
    <x v="3"/>
    <x v="2"/>
  </r>
  <r>
    <n v="10467"/>
    <s v="Umi Gunawan"/>
    <s v="08855716176"/>
    <x v="8"/>
    <x v="2"/>
    <x v="2"/>
    <x v="6"/>
    <n v="35000"/>
    <n v="35000"/>
    <d v="2025-04-09T00:00:00"/>
    <x v="7"/>
    <x v="4"/>
    <x v="3"/>
  </r>
  <r>
    <n v="10497"/>
    <s v="Oki Marpaung"/>
    <s v="088911110961"/>
    <x v="9"/>
    <x v="2"/>
    <x v="2"/>
    <x v="1"/>
    <n v="99000"/>
    <n v="891000"/>
    <d v="2025-07-15T00:00:00"/>
    <x v="8"/>
    <x v="1"/>
    <x v="1"/>
  </r>
  <r>
    <n v="10323"/>
    <s v="Made Halim"/>
    <s v="088674266299"/>
    <x v="4"/>
    <x v="0"/>
    <x v="17"/>
    <x v="0"/>
    <n v="150000"/>
    <n v="1200000"/>
    <d v="2025-02-14T00:00:00"/>
    <x v="6"/>
    <x v="3"/>
    <x v="1"/>
  </r>
  <r>
    <n v="10284"/>
    <s v="Fajar Rahayu"/>
    <s v="08290227846"/>
    <x v="5"/>
    <x v="3"/>
    <x v="8"/>
    <x v="3"/>
    <n v="75000"/>
    <n v="525000"/>
    <d v="2025-09-11T00:00:00"/>
    <x v="10"/>
    <x v="2"/>
    <x v="0"/>
  </r>
  <r>
    <n v="10270"/>
    <s v="Chandra Rahayu"/>
    <s v="088998279501"/>
    <x v="5"/>
    <x v="3"/>
    <x v="4"/>
    <x v="9"/>
    <n v="35000"/>
    <n v="105000"/>
    <d v="2025-11-12T00:00:00"/>
    <x v="4"/>
    <x v="1"/>
    <x v="3"/>
  </r>
  <r>
    <n v="10112"/>
    <s v="Indah Halim"/>
    <s v=""/>
    <x v="8"/>
    <x v="3"/>
    <x v="4"/>
    <x v="8"/>
    <n v="45000"/>
    <n v="270000"/>
    <d v="2025-07-09T00:00:00"/>
    <x v="8"/>
    <x v="1"/>
    <x v="1"/>
  </r>
  <r>
    <n v="10519"/>
    <s v="Hadi Siregar"/>
    <s v="088940128974"/>
    <x v="1"/>
    <x v="4"/>
    <x v="10"/>
    <x v="0"/>
    <n v="45000"/>
    <n v="360000"/>
    <d v="2025-03-29T00:00:00"/>
    <x v="11"/>
    <x v="3"/>
    <x v="2"/>
  </r>
  <r>
    <n v="10128"/>
    <s v="Fitri Nugroho"/>
    <s v="088266093796"/>
    <x v="9"/>
    <x v="4"/>
    <x v="10"/>
    <x v="1"/>
    <n v="99000"/>
    <n v="891000"/>
    <d v="2025-08-25T00:00:00"/>
    <x v="3"/>
    <x v="3"/>
    <x v="1"/>
  </r>
  <r>
    <n v="10143"/>
    <s v="Rian Rahayu"/>
    <s v="088183285691"/>
    <x v="1"/>
    <x v="1"/>
    <x v="1"/>
    <x v="1"/>
    <n v="150000"/>
    <n v="1350000"/>
    <d v="2025-11-12T00:00:00"/>
    <x v="4"/>
    <x v="3"/>
    <x v="2"/>
  </r>
  <r>
    <n v="10475"/>
    <s v="Yani Setiawan"/>
    <s v="088303662543"/>
    <x v="5"/>
    <x v="3"/>
    <x v="24"/>
    <x v="1"/>
    <n v="50000"/>
    <n v="450000"/>
    <d v="2025-02-22T00:00:00"/>
    <x v="6"/>
    <x v="0"/>
    <x v="1"/>
  </r>
  <r>
    <n v="10485"/>
    <s v="Tono Nasution"/>
    <s v="088652156818"/>
    <x v="7"/>
    <x v="3"/>
    <x v="18"/>
    <x v="6"/>
    <n v="75000"/>
    <n v="75000"/>
    <d v="2025-05-25T00:00:00"/>
    <x v="1"/>
    <x v="4"/>
    <x v="3"/>
  </r>
  <r>
    <n v="10252"/>
    <s v="Erik Nugroho"/>
    <s v="088279194096"/>
    <x v="4"/>
    <x v="3"/>
    <x v="8"/>
    <x v="3"/>
    <n v="199000"/>
    <n v="1393000"/>
    <d v="2025-04-22T00:00:00"/>
    <x v="7"/>
    <x v="2"/>
    <x v="2"/>
  </r>
  <r>
    <n v="10136"/>
    <s v="Rian Setiawan"/>
    <s v="08636374545"/>
    <x v="8"/>
    <x v="0"/>
    <x v="7"/>
    <x v="6"/>
    <n v="25000"/>
    <n v="25000"/>
    <d v="2025-08-23T00:00:00"/>
    <x v="3"/>
    <x v="1"/>
    <x v="0"/>
  </r>
  <r>
    <n v="10433"/>
    <s v="Fajar Nasution"/>
    <s v="088223728179"/>
    <x v="5"/>
    <x v="1"/>
    <x v="15"/>
    <x v="3"/>
    <n v="250000"/>
    <n v="1750000"/>
    <d v="2025-05-28T00:00:00"/>
    <x v="1"/>
    <x v="4"/>
    <x v="4"/>
  </r>
  <r>
    <n v="10192"/>
    <s v="Putri Lestari"/>
    <s v="08351609177"/>
    <x v="5"/>
    <x v="2"/>
    <x v="2"/>
    <x v="5"/>
    <n v="25000"/>
    <n v="100000"/>
    <d v="2025-07-21T00:00:00"/>
    <x v="8"/>
    <x v="3"/>
    <x v="1"/>
  </r>
  <r>
    <n v="10434"/>
    <s v="Gita Wijaya"/>
    <s v="088614150937"/>
    <x v="3"/>
    <x v="1"/>
    <x v="12"/>
    <x v="7"/>
    <n v="25000"/>
    <n v="250000"/>
    <d v="2025-11-22T00:00:00"/>
    <x v="4"/>
    <x v="3"/>
    <x v="0"/>
  </r>
  <r>
    <n v="10358"/>
    <s v="Erik Santoso"/>
    <s v="088742761707"/>
    <x v="8"/>
    <x v="2"/>
    <x v="14"/>
    <x v="6"/>
    <n v="45000"/>
    <n v="45000"/>
    <d v="2025-03-18T00:00:00"/>
    <x v="11"/>
    <x v="2"/>
    <x v="4"/>
  </r>
  <r>
    <n v="10488"/>
    <s v="Kiki Santoso"/>
    <s v="088747472197"/>
    <x v="9"/>
    <x v="0"/>
    <x v="7"/>
    <x v="8"/>
    <n v="75000"/>
    <n v="450000"/>
    <d v="2025-02-15T00:00:00"/>
    <x v="6"/>
    <x v="2"/>
    <x v="4"/>
  </r>
  <r>
    <n v="10421"/>
    <s v="Ahmad Hidayat"/>
    <s v="088131220681"/>
    <x v="6"/>
    <x v="4"/>
    <x v="5"/>
    <x v="6"/>
    <n v="99000"/>
    <n v="99000"/>
    <d v="2025-01-15T00:00:00"/>
    <x v="0"/>
    <x v="2"/>
    <x v="2"/>
  </r>
  <r>
    <n v="10096"/>
    <s v="Wawan Nasution"/>
    <s v="088334843443"/>
    <x v="1"/>
    <x v="4"/>
    <x v="11"/>
    <x v="1"/>
    <n v="75000"/>
    <n v="675000"/>
    <d v="2025-07-10T00:00:00"/>
    <x v="8"/>
    <x v="1"/>
    <x v="2"/>
  </r>
  <r>
    <n v="10084"/>
    <s v="Erik Simatupang"/>
    <s v="088258313237"/>
    <x v="6"/>
    <x v="0"/>
    <x v="0"/>
    <x v="1"/>
    <n v="150000"/>
    <n v="1350000"/>
    <d v="2025-05-29T00:00:00"/>
    <x v="1"/>
    <x v="1"/>
    <x v="4"/>
  </r>
  <r>
    <n v="10492"/>
    <s v="Putri Hidayat"/>
    <s v=""/>
    <x v="3"/>
    <x v="1"/>
    <x v="22"/>
    <x v="2"/>
    <n v="250000"/>
    <n v="1250000"/>
    <d v="2025-04-01T00:00:00"/>
    <x v="7"/>
    <x v="2"/>
    <x v="4"/>
  </r>
  <r>
    <n v="10161"/>
    <s v="Andi Setiawan"/>
    <s v="088626765861"/>
    <x v="3"/>
    <x v="3"/>
    <x v="18"/>
    <x v="2"/>
    <n v="25000"/>
    <n v="125000"/>
    <d v="2025-01-01T00:00:00"/>
    <x v="0"/>
    <x v="2"/>
    <x v="1"/>
  </r>
  <r>
    <n v="10532"/>
    <s v="Chandra Simatupang"/>
    <s v="088837744197"/>
    <x v="5"/>
    <x v="4"/>
    <x v="5"/>
    <x v="9"/>
    <n v="35000"/>
    <n v="105000"/>
    <d v="2025-03-12T00:00:00"/>
    <x v="11"/>
    <x v="3"/>
    <x v="4"/>
  </r>
  <r>
    <n v="10069"/>
    <s v="Vina Santoso"/>
    <s v="088466590515"/>
    <x v="3"/>
    <x v="1"/>
    <x v="12"/>
    <x v="1"/>
    <n v="150000"/>
    <n v="1350000"/>
    <d v="2025-11-09T00:00:00"/>
    <x v="4"/>
    <x v="3"/>
    <x v="2"/>
  </r>
  <r>
    <n v="10217"/>
    <s v="Nita Lestari"/>
    <s v=""/>
    <x v="8"/>
    <x v="3"/>
    <x v="18"/>
    <x v="7"/>
    <n v="150000"/>
    <n v="1500000"/>
    <d v="2025-07-29T00:00:00"/>
    <x v="8"/>
    <x v="1"/>
    <x v="4"/>
  </r>
  <r>
    <n v="10104"/>
    <s v="Oki Pratama"/>
    <s v="088908740640"/>
    <x v="2"/>
    <x v="3"/>
    <x v="8"/>
    <x v="0"/>
    <n v="15000"/>
    <n v="120000"/>
    <d v="2025-08-21T00:00:00"/>
    <x v="3"/>
    <x v="3"/>
    <x v="3"/>
  </r>
  <r>
    <n v="10064"/>
    <s v="Rian Halim"/>
    <s v="088664160529"/>
    <x v="1"/>
    <x v="3"/>
    <x v="4"/>
    <x v="6"/>
    <n v="120000"/>
    <n v="120000"/>
    <d v="2025-09-02T00:00:00"/>
    <x v="10"/>
    <x v="1"/>
    <x v="3"/>
  </r>
  <r>
    <n v="10000"/>
    <s v="Vina Pratama"/>
    <s v="08013389083"/>
    <x v="4"/>
    <x v="4"/>
    <x v="6"/>
    <x v="4"/>
    <n v="250000"/>
    <n v="500000"/>
    <d v="2025-10-07T00:00:00"/>
    <x v="9"/>
    <x v="2"/>
    <x v="3"/>
  </r>
  <r>
    <n v="10238"/>
    <s v="Gita Marpaung"/>
    <s v="088389448463"/>
    <x v="1"/>
    <x v="4"/>
    <x v="6"/>
    <x v="3"/>
    <n v="99000"/>
    <n v="693000"/>
    <d v="2025-04-23T00:00:00"/>
    <x v="7"/>
    <x v="1"/>
    <x v="0"/>
  </r>
  <r>
    <n v="10479"/>
    <s v="Putri Nugroho"/>
    <s v="088305872105"/>
    <x v="5"/>
    <x v="1"/>
    <x v="15"/>
    <x v="7"/>
    <n v="45000"/>
    <n v="450000"/>
    <d v="2025-12-26T00:00:00"/>
    <x v="5"/>
    <x v="2"/>
    <x v="4"/>
  </r>
  <r>
    <n v="10305"/>
    <s v="Kiki Kusuma"/>
    <s v="088021962071"/>
    <x v="4"/>
    <x v="1"/>
    <x v="9"/>
    <x v="8"/>
    <n v="150000"/>
    <n v="900000"/>
    <d v="2025-03-26T00:00:00"/>
    <x v="11"/>
    <x v="4"/>
    <x v="4"/>
  </r>
  <r>
    <n v="10313"/>
    <s v="Joko Nugroho"/>
    <s v="08262570165"/>
    <x v="7"/>
    <x v="0"/>
    <x v="13"/>
    <x v="0"/>
    <n v="199000"/>
    <n v="1592000"/>
    <d v="2025-10-26T00:00:00"/>
    <x v="9"/>
    <x v="2"/>
    <x v="1"/>
  </r>
  <r>
    <n v="10555"/>
    <s v="Rian Marpaung"/>
    <s v="088394353537"/>
    <x v="5"/>
    <x v="3"/>
    <x v="8"/>
    <x v="0"/>
    <n v="250000"/>
    <n v="2000000"/>
    <d v="2025-09-26T00:00:00"/>
    <x v="10"/>
    <x v="0"/>
    <x v="1"/>
  </r>
  <r>
    <n v="10164"/>
    <s v="Eka Wijaya"/>
    <s v="088417146774"/>
    <x v="7"/>
    <x v="3"/>
    <x v="18"/>
    <x v="7"/>
    <n v="120000"/>
    <n v="1200000"/>
    <d v="2025-04-13T00:00:00"/>
    <x v="7"/>
    <x v="2"/>
    <x v="0"/>
  </r>
  <r>
    <n v="10114"/>
    <s v="Fajar Lestari"/>
    <s v="08312038750"/>
    <x v="8"/>
    <x v="2"/>
    <x v="16"/>
    <x v="1"/>
    <n v="15000"/>
    <n v="135000"/>
    <d v="2025-02-08T00:00:00"/>
    <x v="6"/>
    <x v="2"/>
    <x v="0"/>
  </r>
  <r>
    <n v="10184"/>
    <s v="Yani Nasution"/>
    <s v="088811437447"/>
    <x v="3"/>
    <x v="3"/>
    <x v="24"/>
    <x v="4"/>
    <n v="199000"/>
    <n v="398000"/>
    <d v="2025-09-12T00:00:00"/>
    <x v="10"/>
    <x v="4"/>
    <x v="4"/>
  </r>
  <r>
    <n v="10581"/>
    <s v="Tono Lestari"/>
    <s v="088659994973"/>
    <x v="3"/>
    <x v="4"/>
    <x v="10"/>
    <x v="7"/>
    <n v="25000"/>
    <n v="250000"/>
    <d v="2025-06-03T00:00:00"/>
    <x v="2"/>
    <x v="0"/>
    <x v="3"/>
  </r>
  <r>
    <n v="10110"/>
    <s v="Vina Kusuma"/>
    <s v=""/>
    <x v="6"/>
    <x v="2"/>
    <x v="2"/>
    <x v="6"/>
    <n v="50000"/>
    <n v="50000"/>
    <d v="2025-07-13T00:00:00"/>
    <x v="8"/>
    <x v="0"/>
    <x v="3"/>
  </r>
  <r>
    <n v="10528"/>
    <s v="Dewi Lestari"/>
    <s v="088670806129"/>
    <x v="8"/>
    <x v="0"/>
    <x v="7"/>
    <x v="8"/>
    <n v="120000"/>
    <n v="720000"/>
    <d v="2025-07-01T00:00:00"/>
    <x v="8"/>
    <x v="4"/>
    <x v="1"/>
  </r>
  <r>
    <n v="10002"/>
    <s v="Citra Rahayu"/>
    <s v="088164752553"/>
    <x v="6"/>
    <x v="4"/>
    <x v="5"/>
    <x v="6"/>
    <n v="250000"/>
    <n v="250000"/>
    <d v="2025-04-27T00:00:00"/>
    <x v="7"/>
    <x v="1"/>
    <x v="0"/>
  </r>
  <r>
    <n v="10254"/>
    <s v="Oki Kusuma"/>
    <s v="088864168622"/>
    <x v="1"/>
    <x v="1"/>
    <x v="9"/>
    <x v="9"/>
    <n v="75000"/>
    <n v="225000"/>
    <d v="2025-02-12T00:00:00"/>
    <x v="6"/>
    <x v="4"/>
    <x v="3"/>
  </r>
  <r>
    <n v="10393"/>
    <s v="Andi Nugroho"/>
    <s v="088750479303"/>
    <x v="4"/>
    <x v="0"/>
    <x v="13"/>
    <x v="4"/>
    <n v="199000"/>
    <n v="398000"/>
    <d v="2025-11-17T00:00:00"/>
    <x v="4"/>
    <x v="1"/>
    <x v="4"/>
  </r>
  <r>
    <n v="10357"/>
    <s v="Erik Simatupang"/>
    <s v="088745644948"/>
    <x v="5"/>
    <x v="2"/>
    <x v="14"/>
    <x v="9"/>
    <n v="50000"/>
    <n v="150000"/>
    <d v="2025-03-01T00:00:00"/>
    <x v="11"/>
    <x v="1"/>
    <x v="0"/>
  </r>
  <r>
    <n v="10153"/>
    <s v="Dewi Saputra"/>
    <s v="088101372151"/>
    <x v="3"/>
    <x v="4"/>
    <x v="11"/>
    <x v="8"/>
    <n v="250000"/>
    <n v="1500000"/>
    <d v="2025-11-19T00:00:00"/>
    <x v="4"/>
    <x v="2"/>
    <x v="3"/>
  </r>
  <r>
    <n v="10055"/>
    <s v="Citra Hidayat"/>
    <s v="088210205395"/>
    <x v="3"/>
    <x v="0"/>
    <x v="13"/>
    <x v="7"/>
    <n v="15000"/>
    <n v="150000"/>
    <d v="2025-05-22T00:00:00"/>
    <x v="1"/>
    <x v="3"/>
    <x v="4"/>
  </r>
  <r>
    <n v="10319"/>
    <s v="Oki Santoso"/>
    <s v="08059274523"/>
    <x v="9"/>
    <x v="2"/>
    <x v="20"/>
    <x v="9"/>
    <n v="35000"/>
    <n v="105000"/>
    <d v="2025-12-29T00:00:00"/>
    <x v="5"/>
    <x v="3"/>
    <x v="4"/>
  </r>
  <r>
    <n v="10258"/>
    <s v="Fajar Wijaya"/>
    <s v="088451046368"/>
    <x v="3"/>
    <x v="2"/>
    <x v="20"/>
    <x v="6"/>
    <n v="120000"/>
    <n v="120000"/>
    <d v="2025-02-12T00:00:00"/>
    <x v="6"/>
    <x v="2"/>
    <x v="0"/>
  </r>
  <r>
    <n v="10396"/>
    <s v="Kiki Saputra"/>
    <s v="088325411076"/>
    <x v="3"/>
    <x v="3"/>
    <x v="8"/>
    <x v="6"/>
    <n v="45000"/>
    <n v="45000"/>
    <d v="2025-12-20T00:00:00"/>
    <x v="5"/>
    <x v="4"/>
    <x v="0"/>
  </r>
  <r>
    <n v="10205"/>
    <s v="Fajar Nugroho"/>
    <s v=""/>
    <x v="4"/>
    <x v="3"/>
    <x v="19"/>
    <x v="7"/>
    <n v="15000"/>
    <n v="150000"/>
    <d v="2025-09-10T00:00:00"/>
    <x v="10"/>
    <x v="4"/>
    <x v="3"/>
  </r>
  <r>
    <n v="10121"/>
    <s v="Lina Kusuma"/>
    <s v="088398262244"/>
    <x v="2"/>
    <x v="1"/>
    <x v="1"/>
    <x v="2"/>
    <n v="99000"/>
    <n v="495000"/>
    <d v="2025-07-18T00:00:00"/>
    <x v="8"/>
    <x v="2"/>
    <x v="3"/>
  </r>
  <r>
    <n v="10021"/>
    <s v="Tono Rahayu"/>
    <s v="088738721489"/>
    <x v="0"/>
    <x v="0"/>
    <x v="17"/>
    <x v="5"/>
    <n v="99000"/>
    <n v="396000"/>
    <d v="2025-10-24T00:00:00"/>
    <x v="9"/>
    <x v="0"/>
    <x v="2"/>
  </r>
  <r>
    <n v="10330"/>
    <s v="Fajar Rahayu"/>
    <s v="088611076031"/>
    <x v="5"/>
    <x v="4"/>
    <x v="6"/>
    <x v="5"/>
    <n v="50000"/>
    <n v="200000"/>
    <d v="2025-03-06T00:00:00"/>
    <x v="11"/>
    <x v="3"/>
    <x v="4"/>
  </r>
  <r>
    <n v="10029"/>
    <s v="Dewi Saputra"/>
    <s v="088491905865"/>
    <x v="2"/>
    <x v="1"/>
    <x v="12"/>
    <x v="5"/>
    <n v="25000"/>
    <n v="100000"/>
    <d v="2025-10-31T00:00:00"/>
    <x v="9"/>
    <x v="3"/>
    <x v="0"/>
  </r>
  <r>
    <n v="10564"/>
    <s v="Kiki Santoso"/>
    <s v="088853800329"/>
    <x v="6"/>
    <x v="1"/>
    <x v="15"/>
    <x v="4"/>
    <n v="75000"/>
    <n v="150000"/>
    <d v="2025-01-20T00:00:00"/>
    <x v="0"/>
    <x v="4"/>
    <x v="0"/>
  </r>
  <r>
    <n v="10262"/>
    <s v="Zaki Saputra"/>
    <s v="088994999393"/>
    <x v="1"/>
    <x v="0"/>
    <x v="21"/>
    <x v="2"/>
    <n v="35000"/>
    <n v="175000"/>
    <d v="2025-07-04T00:00:00"/>
    <x v="8"/>
    <x v="2"/>
    <x v="4"/>
  </r>
  <r>
    <n v="10521"/>
    <s v="Erik Kusuma"/>
    <s v="088094388221"/>
    <x v="7"/>
    <x v="0"/>
    <x v="21"/>
    <x v="7"/>
    <n v="15000"/>
    <n v="150000"/>
    <d v="2025-08-09T00:00:00"/>
    <x v="3"/>
    <x v="3"/>
    <x v="1"/>
  </r>
  <r>
    <n v="10324"/>
    <s v="Gita Rahayu"/>
    <s v="088879232648"/>
    <x v="0"/>
    <x v="3"/>
    <x v="8"/>
    <x v="3"/>
    <n v="25000"/>
    <n v="175000"/>
    <d v="2025-04-01T00:00:00"/>
    <x v="7"/>
    <x v="4"/>
    <x v="2"/>
  </r>
  <r>
    <n v="10389"/>
    <s v="Nita Simatupang"/>
    <s v="088870079420"/>
    <x v="0"/>
    <x v="4"/>
    <x v="10"/>
    <x v="1"/>
    <n v="35000"/>
    <n v="315000"/>
    <d v="2025-05-06T00:00:00"/>
    <x v="1"/>
    <x v="0"/>
    <x v="1"/>
  </r>
  <r>
    <n v="10200"/>
    <s v="Putri Saputra"/>
    <s v="08164840858"/>
    <x v="6"/>
    <x v="4"/>
    <x v="23"/>
    <x v="7"/>
    <n v="45000"/>
    <n v="450000"/>
    <d v="2025-01-21T00:00:00"/>
    <x v="0"/>
    <x v="1"/>
    <x v="1"/>
  </r>
  <r>
    <n v="10137"/>
    <s v="Eka Nasution"/>
    <s v=""/>
    <x v="7"/>
    <x v="3"/>
    <x v="4"/>
    <x v="6"/>
    <n v="25000"/>
    <n v="25000"/>
    <d v="2025-03-22T00:00:00"/>
    <x v="11"/>
    <x v="4"/>
    <x v="1"/>
  </r>
  <r>
    <n v="10025"/>
    <s v="Kiki Simatupang"/>
    <s v=""/>
    <x v="7"/>
    <x v="1"/>
    <x v="12"/>
    <x v="7"/>
    <n v="15000"/>
    <n v="150000"/>
    <d v="2025-10-22T00:00:00"/>
    <x v="9"/>
    <x v="4"/>
    <x v="1"/>
  </r>
  <r>
    <n v="10118"/>
    <s v="Ahmad Siregar"/>
    <s v="088218501631"/>
    <x v="4"/>
    <x v="2"/>
    <x v="2"/>
    <x v="7"/>
    <n v="99000"/>
    <n v="990000"/>
    <d v="2025-12-13T00:00:00"/>
    <x v="5"/>
    <x v="0"/>
    <x v="2"/>
  </r>
  <r>
    <n v="10439"/>
    <s v="Putri Nugroho"/>
    <s v="088347128715"/>
    <x v="3"/>
    <x v="3"/>
    <x v="24"/>
    <x v="3"/>
    <n v="15000"/>
    <n v="105000"/>
    <d v="2025-03-24T00:00:00"/>
    <x v="11"/>
    <x v="1"/>
    <x v="1"/>
  </r>
  <r>
    <n v="10183"/>
    <s v="Umi Lestari"/>
    <s v="088483564208"/>
    <x v="5"/>
    <x v="2"/>
    <x v="16"/>
    <x v="2"/>
    <n v="25000"/>
    <n v="125000"/>
    <d v="2025-02-24T00:00:00"/>
    <x v="6"/>
    <x v="4"/>
    <x v="4"/>
  </r>
  <r>
    <n v="10314"/>
    <s v="Joko Marpaung"/>
    <s v="088501657905"/>
    <x v="2"/>
    <x v="2"/>
    <x v="2"/>
    <x v="4"/>
    <n v="199000"/>
    <n v="398000"/>
    <d v="2025-06-21T00:00:00"/>
    <x v="2"/>
    <x v="2"/>
    <x v="3"/>
  </r>
  <r>
    <n v="10242"/>
    <s v="Putri Rahayu"/>
    <s v="08491630097"/>
    <x v="6"/>
    <x v="4"/>
    <x v="5"/>
    <x v="5"/>
    <n v="250000"/>
    <n v="1000000"/>
    <d v="2025-08-11T00:00:00"/>
    <x v="3"/>
    <x v="1"/>
    <x v="0"/>
  </r>
  <r>
    <n v="10437"/>
    <s v="Dian Setiawan"/>
    <s v="088505057397"/>
    <x v="6"/>
    <x v="2"/>
    <x v="14"/>
    <x v="1"/>
    <n v="99000"/>
    <n v="891000"/>
    <d v="2025-12-05T00:00:00"/>
    <x v="5"/>
    <x v="3"/>
    <x v="0"/>
  </r>
  <r>
    <n v="10368"/>
    <s v="Erik Lestari"/>
    <s v="08605016679"/>
    <x v="8"/>
    <x v="3"/>
    <x v="4"/>
    <x v="7"/>
    <n v="45000"/>
    <n v="450000"/>
    <d v="2025-04-14T00:00:00"/>
    <x v="7"/>
    <x v="1"/>
    <x v="3"/>
  </r>
  <r>
    <n v="10579"/>
    <s v="Eka Nasution"/>
    <s v=""/>
    <x v="7"/>
    <x v="4"/>
    <x v="6"/>
    <x v="4"/>
    <n v="150000"/>
    <n v="300000"/>
    <d v="2025-08-23T00:00:00"/>
    <x v="3"/>
    <x v="1"/>
    <x v="0"/>
  </r>
  <r>
    <n v="10077"/>
    <s v="Yani Lestari"/>
    <s v="088518888806"/>
    <x v="1"/>
    <x v="2"/>
    <x v="20"/>
    <x v="5"/>
    <n v="199000"/>
    <n v="796000"/>
    <d v="2025-02-08T00:00:00"/>
    <x v="6"/>
    <x v="3"/>
    <x v="0"/>
  </r>
  <r>
    <n v="10565"/>
    <s v="Wawan Hidayat"/>
    <s v="088306178932"/>
    <x v="8"/>
    <x v="1"/>
    <x v="9"/>
    <x v="0"/>
    <n v="50000"/>
    <n v="400000"/>
    <d v="2025-03-09T00:00:00"/>
    <x v="11"/>
    <x v="3"/>
    <x v="0"/>
  </r>
  <r>
    <n v="10592"/>
    <s v="Oki Setiawan"/>
    <s v="088905150267"/>
    <x v="5"/>
    <x v="4"/>
    <x v="11"/>
    <x v="9"/>
    <n v="120000"/>
    <n v="360000"/>
    <d v="2025-10-28T00:00:00"/>
    <x v="9"/>
    <x v="1"/>
    <x v="2"/>
  </r>
  <r>
    <n v="10300"/>
    <s v="Fitri Wijaya"/>
    <s v="088183067198"/>
    <x v="4"/>
    <x v="0"/>
    <x v="21"/>
    <x v="7"/>
    <n v="15000"/>
    <n v="150000"/>
    <d v="2025-09-21T00:00:00"/>
    <x v="10"/>
    <x v="4"/>
    <x v="1"/>
  </r>
  <r>
    <n v="10553"/>
    <s v="Dewi Kusuma"/>
    <s v="088595565749"/>
    <x v="3"/>
    <x v="2"/>
    <x v="20"/>
    <x v="3"/>
    <n v="25000"/>
    <n v="175000"/>
    <d v="2025-11-25T00:00:00"/>
    <x v="4"/>
    <x v="4"/>
    <x v="2"/>
  </r>
  <r>
    <n v="10362"/>
    <s v="Andi Hidayat"/>
    <s v="088925158377"/>
    <x v="1"/>
    <x v="0"/>
    <x v="13"/>
    <x v="4"/>
    <n v="50000"/>
    <n v="100000"/>
    <d v="2025-09-09T00:00:00"/>
    <x v="10"/>
    <x v="4"/>
    <x v="2"/>
  </r>
  <r>
    <n v="10048"/>
    <s v="Fajar Kusuma"/>
    <s v="088074821759"/>
    <x v="1"/>
    <x v="4"/>
    <x v="11"/>
    <x v="7"/>
    <n v="35000"/>
    <n v="350000"/>
    <d v="2025-04-29T00:00:00"/>
    <x v="7"/>
    <x v="4"/>
    <x v="2"/>
  </r>
  <r>
    <n v="10539"/>
    <s v="Dian Lestari"/>
    <s v="088730985034"/>
    <x v="8"/>
    <x v="1"/>
    <x v="1"/>
    <x v="7"/>
    <n v="25000"/>
    <n v="250000"/>
    <d v="2025-03-07T00:00:00"/>
    <x v="11"/>
    <x v="0"/>
    <x v="2"/>
  </r>
  <r>
    <n v="10491"/>
    <s v="Kiki Kusuma"/>
    <s v="088723590960"/>
    <x v="6"/>
    <x v="1"/>
    <x v="9"/>
    <x v="0"/>
    <n v="25000"/>
    <n v="200000"/>
    <d v="2025-05-23T00:00:00"/>
    <x v="1"/>
    <x v="4"/>
    <x v="0"/>
  </r>
  <r>
    <n v="10141"/>
    <s v="Vina Kusuma"/>
    <s v="088836403761"/>
    <x v="0"/>
    <x v="2"/>
    <x v="3"/>
    <x v="2"/>
    <n v="15000"/>
    <n v="75000"/>
    <d v="2025-12-04T00:00:00"/>
    <x v="5"/>
    <x v="1"/>
    <x v="4"/>
  </r>
  <r>
    <n v="10068"/>
    <s v="Citra Kusuma"/>
    <s v="088597820715"/>
    <x v="2"/>
    <x v="1"/>
    <x v="12"/>
    <x v="7"/>
    <n v="150000"/>
    <n v="1500000"/>
    <d v="2025-01-22T00:00:00"/>
    <x v="0"/>
    <x v="4"/>
    <x v="3"/>
  </r>
  <r>
    <n v="10453"/>
    <s v="Hadi Siregar"/>
    <s v="088484910256"/>
    <x v="5"/>
    <x v="2"/>
    <x v="20"/>
    <x v="7"/>
    <n v="120000"/>
    <n v="1200000"/>
    <d v="2025-02-18T00:00:00"/>
    <x v="6"/>
    <x v="0"/>
    <x v="2"/>
  </r>
  <r>
    <n v="10010"/>
    <s v="Nita Marpaung"/>
    <s v="08726247317"/>
    <x v="7"/>
    <x v="3"/>
    <x v="24"/>
    <x v="3"/>
    <n v="75000"/>
    <n v="525000"/>
    <d v="2025-02-25T00:00:00"/>
    <x v="6"/>
    <x v="3"/>
    <x v="4"/>
  </r>
  <r>
    <n v="10045"/>
    <s v="Sari Siregar"/>
    <s v="088662702895"/>
    <x v="6"/>
    <x v="4"/>
    <x v="23"/>
    <x v="3"/>
    <n v="45000"/>
    <n v="315000"/>
    <d v="2025-07-30T00:00:00"/>
    <x v="8"/>
    <x v="2"/>
    <x v="2"/>
  </r>
  <r>
    <n v="10304"/>
    <s v="Oki Santoso"/>
    <s v="08651982530"/>
    <x v="5"/>
    <x v="3"/>
    <x v="4"/>
    <x v="7"/>
    <n v="199000"/>
    <n v="1990000"/>
    <d v="2025-04-23T00:00:00"/>
    <x v="7"/>
    <x v="2"/>
    <x v="4"/>
  </r>
  <r>
    <n v="10286"/>
    <s v="Dewi Rahayu"/>
    <s v="088272386562"/>
    <x v="3"/>
    <x v="2"/>
    <x v="14"/>
    <x v="8"/>
    <n v="99000"/>
    <n v="594000"/>
    <d v="2025-07-27T00:00:00"/>
    <x v="8"/>
    <x v="4"/>
    <x v="1"/>
  </r>
  <r>
    <n v="10058"/>
    <s v="Dewi Pratama"/>
    <s v="088565452711"/>
    <x v="3"/>
    <x v="1"/>
    <x v="9"/>
    <x v="3"/>
    <n v="75000"/>
    <n v="525000"/>
    <d v="2025-08-21T00:00:00"/>
    <x v="3"/>
    <x v="4"/>
    <x v="1"/>
  </r>
  <r>
    <n v="10574"/>
    <s v="Hadi Saputra"/>
    <s v="088118237931"/>
    <x v="3"/>
    <x v="0"/>
    <x v="21"/>
    <x v="7"/>
    <n v="25000"/>
    <n v="250000"/>
    <d v="2025-11-26T00:00:00"/>
    <x v="4"/>
    <x v="1"/>
    <x v="2"/>
  </r>
  <r>
    <n v="10440"/>
    <s v="Ahmad Kusuma"/>
    <s v="088115931952"/>
    <x v="1"/>
    <x v="1"/>
    <x v="15"/>
    <x v="3"/>
    <n v="45000"/>
    <n v="315000"/>
    <d v="2025-04-25T00:00:00"/>
    <x v="7"/>
    <x v="1"/>
    <x v="0"/>
  </r>
  <r>
    <n v="10465"/>
    <s v="Fajar Wijaya"/>
    <s v="088475541108"/>
    <x v="7"/>
    <x v="0"/>
    <x v="13"/>
    <x v="2"/>
    <n v="120000"/>
    <n v="600000"/>
    <d v="2025-05-24T00:00:00"/>
    <x v="1"/>
    <x v="0"/>
    <x v="0"/>
  </r>
  <r>
    <n v="10239"/>
    <s v="Eka Rahayu"/>
    <s v="088802144270"/>
    <x v="8"/>
    <x v="1"/>
    <x v="22"/>
    <x v="7"/>
    <n v="120000"/>
    <n v="1200000"/>
    <d v="2025-07-04T00:00:00"/>
    <x v="8"/>
    <x v="1"/>
    <x v="0"/>
  </r>
  <r>
    <n v="10509"/>
    <s v="Tono Marpaung"/>
    <s v="088172959639"/>
    <x v="6"/>
    <x v="4"/>
    <x v="6"/>
    <x v="6"/>
    <n v="120000"/>
    <n v="120000"/>
    <d v="2025-09-13T00:00:00"/>
    <x v="10"/>
    <x v="2"/>
    <x v="2"/>
  </r>
  <r>
    <n v="10329"/>
    <s v="Eka Nugroho"/>
    <s v="08207545279"/>
    <x v="0"/>
    <x v="2"/>
    <x v="3"/>
    <x v="1"/>
    <n v="25000"/>
    <n v="225000"/>
    <d v="2025-02-08T00:00:00"/>
    <x v="6"/>
    <x v="4"/>
    <x v="0"/>
  </r>
  <r>
    <n v="10471"/>
    <s v="Joko Gunawan"/>
    <s v="088649837354"/>
    <x v="7"/>
    <x v="4"/>
    <x v="10"/>
    <x v="9"/>
    <n v="50000"/>
    <n v="150000"/>
    <d v="2025-01-09T00:00:00"/>
    <x v="0"/>
    <x v="0"/>
    <x v="3"/>
  </r>
  <r>
    <n v="10537"/>
    <s v="Oki Halim"/>
    <s v="088477433268"/>
    <x v="7"/>
    <x v="0"/>
    <x v="0"/>
    <x v="0"/>
    <n v="99000"/>
    <n v="792000"/>
    <d v="2025-10-03T00:00:00"/>
    <x v="9"/>
    <x v="0"/>
    <x v="3"/>
  </r>
  <r>
    <n v="10062"/>
    <s v="Eka Santoso"/>
    <s v="088438156149"/>
    <x v="7"/>
    <x v="3"/>
    <x v="18"/>
    <x v="0"/>
    <n v="250000"/>
    <n v="2000000"/>
    <d v="2025-08-06T00:00:00"/>
    <x v="3"/>
    <x v="4"/>
    <x v="3"/>
  </r>
  <r>
    <n v="10402"/>
    <s v="Yani Gunawan"/>
    <s v="088073033793"/>
    <x v="2"/>
    <x v="2"/>
    <x v="20"/>
    <x v="3"/>
    <n v="75000"/>
    <n v="525000"/>
    <d v="2025-03-25T00:00:00"/>
    <x v="11"/>
    <x v="2"/>
    <x v="1"/>
  </r>
  <r>
    <n v="10145"/>
    <s v="Fajar Halim"/>
    <s v="088917785079"/>
    <x v="4"/>
    <x v="3"/>
    <x v="24"/>
    <x v="8"/>
    <n v="99000"/>
    <n v="594000"/>
    <d v="2025-05-20T00:00:00"/>
    <x v="1"/>
    <x v="0"/>
    <x v="0"/>
  </r>
  <r>
    <n v="10228"/>
    <s v="Rian Marpaung"/>
    <s v="088750036915"/>
    <x v="0"/>
    <x v="2"/>
    <x v="20"/>
    <x v="3"/>
    <n v="250000"/>
    <n v="1750000"/>
    <d v="2025-03-31T00:00:00"/>
    <x v="11"/>
    <x v="4"/>
    <x v="0"/>
  </r>
  <r>
    <n v="10028"/>
    <s v="Hadi Kusuma"/>
    <s v="088937452991"/>
    <x v="7"/>
    <x v="4"/>
    <x v="5"/>
    <x v="7"/>
    <n v="35000"/>
    <n v="350000"/>
    <d v="2025-03-05T00:00:00"/>
    <x v="11"/>
    <x v="3"/>
    <x v="1"/>
  </r>
  <r>
    <n v="10138"/>
    <s v="Gita Lestari"/>
    <s v="088436110371"/>
    <x v="9"/>
    <x v="3"/>
    <x v="18"/>
    <x v="2"/>
    <n v="25000"/>
    <n v="125000"/>
    <d v="2025-07-10T00:00:00"/>
    <x v="8"/>
    <x v="3"/>
    <x v="0"/>
  </r>
  <r>
    <n v="10034"/>
    <s v="Joko Pratama"/>
    <s v="088084271094"/>
    <x v="4"/>
    <x v="0"/>
    <x v="13"/>
    <x v="2"/>
    <n v="15000"/>
    <n v="75000"/>
    <d v="2025-12-29T00:00:00"/>
    <x v="5"/>
    <x v="0"/>
    <x v="4"/>
  </r>
  <r>
    <n v="10259"/>
    <s v="Putri Kusuma"/>
    <s v="088620555438"/>
    <x v="3"/>
    <x v="1"/>
    <x v="15"/>
    <x v="6"/>
    <n v="15000"/>
    <n v="15000"/>
    <d v="2025-07-05T00:00:00"/>
    <x v="8"/>
    <x v="0"/>
    <x v="2"/>
  </r>
  <r>
    <n v="10352"/>
    <s v="Rian Lestari"/>
    <s v="088316526693"/>
    <x v="1"/>
    <x v="1"/>
    <x v="12"/>
    <x v="9"/>
    <n v="50000"/>
    <n v="150000"/>
    <d v="2025-03-30T00:00:00"/>
    <x v="11"/>
    <x v="0"/>
    <x v="2"/>
  </r>
  <r>
    <n v="10575"/>
    <s v="Umi Nasution"/>
    <s v=""/>
    <x v="2"/>
    <x v="3"/>
    <x v="4"/>
    <x v="2"/>
    <n v="99000"/>
    <n v="495000"/>
    <d v="2025-06-09T00:00:00"/>
    <x v="2"/>
    <x v="1"/>
    <x v="4"/>
  </r>
  <r>
    <n v="10376"/>
    <s v="Joko Marpaung"/>
    <s v="088738997563"/>
    <x v="0"/>
    <x v="0"/>
    <x v="17"/>
    <x v="6"/>
    <n v="50000"/>
    <n v="50000"/>
    <d v="2025-09-28T00:00:00"/>
    <x v="10"/>
    <x v="0"/>
    <x v="4"/>
  </r>
  <r>
    <n v="10451"/>
    <s v="Indah Marpaung"/>
    <s v="088256609314"/>
    <x v="0"/>
    <x v="3"/>
    <x v="18"/>
    <x v="5"/>
    <n v="75000"/>
    <n v="300000"/>
    <d v="2025-10-16T00:00:00"/>
    <x v="9"/>
    <x v="0"/>
    <x v="3"/>
  </r>
  <r>
    <n v="10302"/>
    <s v="Erik Simatupang"/>
    <s v="088478700505"/>
    <x v="9"/>
    <x v="4"/>
    <x v="5"/>
    <x v="7"/>
    <n v="45000"/>
    <n v="450000"/>
    <d v="2025-09-08T00:00:00"/>
    <x v="10"/>
    <x v="4"/>
    <x v="0"/>
  </r>
  <r>
    <n v="10273"/>
    <s v="Oki Pratama"/>
    <s v="088441448850"/>
    <x v="2"/>
    <x v="1"/>
    <x v="1"/>
    <x v="8"/>
    <n v="75000"/>
    <n v="450000"/>
    <d v="2025-10-14T00:00:00"/>
    <x v="9"/>
    <x v="3"/>
    <x v="0"/>
  </r>
  <r>
    <n v="10315"/>
    <s v="Vina Kusuma"/>
    <s v="088335548640"/>
    <x v="3"/>
    <x v="0"/>
    <x v="13"/>
    <x v="1"/>
    <n v="25000"/>
    <n v="225000"/>
    <d v="2025-11-29T00:00:00"/>
    <x v="4"/>
    <x v="4"/>
    <x v="3"/>
  </r>
  <r>
    <n v="10337"/>
    <s v="Wawan Gunawan"/>
    <s v="088778485880"/>
    <x v="4"/>
    <x v="2"/>
    <x v="16"/>
    <x v="4"/>
    <n v="250000"/>
    <n v="500000"/>
    <d v="2025-09-24T00:00:00"/>
    <x v="10"/>
    <x v="4"/>
    <x v="1"/>
  </r>
  <r>
    <n v="10426"/>
    <s v="Budi Nugroho"/>
    <s v="08130232129"/>
    <x v="2"/>
    <x v="2"/>
    <x v="20"/>
    <x v="9"/>
    <n v="120000"/>
    <n v="360000"/>
    <d v="2025-11-19T00:00:00"/>
    <x v="4"/>
    <x v="2"/>
    <x v="0"/>
  </r>
  <r>
    <n v="10255"/>
    <s v="Gita Nasution"/>
    <s v="088591166553"/>
    <x v="2"/>
    <x v="2"/>
    <x v="3"/>
    <x v="1"/>
    <n v="45000"/>
    <n v="405000"/>
    <d v="2025-05-05T00:00:00"/>
    <x v="1"/>
    <x v="2"/>
    <x v="2"/>
  </r>
  <r>
    <n v="10525"/>
    <s v="Umi Santoso"/>
    <s v="088107406500"/>
    <x v="8"/>
    <x v="3"/>
    <x v="18"/>
    <x v="6"/>
    <n v="120000"/>
    <n v="120000"/>
    <d v="2025-01-21T00:00:00"/>
    <x v="0"/>
    <x v="3"/>
    <x v="2"/>
  </r>
  <r>
    <n v="10100"/>
    <s v="Joko Pratama"/>
    <s v="08152742054"/>
    <x v="4"/>
    <x v="2"/>
    <x v="3"/>
    <x v="0"/>
    <n v="35000"/>
    <n v="280000"/>
    <d v="2025-09-16T00:00:00"/>
    <x v="10"/>
    <x v="4"/>
    <x v="2"/>
  </r>
  <r>
    <n v="10392"/>
    <s v="Sari Nasution"/>
    <s v="088695620175"/>
    <x v="0"/>
    <x v="3"/>
    <x v="8"/>
    <x v="6"/>
    <n v="250000"/>
    <n v="250000"/>
    <d v="2025-08-16T00:00:00"/>
    <x v="3"/>
    <x v="2"/>
    <x v="2"/>
  </r>
  <r>
    <n v="10142"/>
    <s v="Vina Kusuma"/>
    <s v="088710910430"/>
    <x v="7"/>
    <x v="0"/>
    <x v="13"/>
    <x v="3"/>
    <n v="199000"/>
    <n v="1393000"/>
    <d v="2025-08-04T00:00:00"/>
    <x v="3"/>
    <x v="1"/>
    <x v="3"/>
  </r>
  <r>
    <n v="10076"/>
    <s v="Chandra Lestari"/>
    <s v="08971179808"/>
    <x v="2"/>
    <x v="1"/>
    <x v="1"/>
    <x v="2"/>
    <n v="45000"/>
    <n v="225000"/>
    <d v="2025-06-04T00:00:00"/>
    <x v="2"/>
    <x v="2"/>
    <x v="0"/>
  </r>
  <r>
    <n v="10476"/>
    <s v="Putri Santoso"/>
    <s v="088109226859"/>
    <x v="3"/>
    <x v="0"/>
    <x v="17"/>
    <x v="4"/>
    <n v="199000"/>
    <n v="398000"/>
    <d v="2025-06-20T00:00:00"/>
    <x v="2"/>
    <x v="2"/>
    <x v="2"/>
  </r>
  <r>
    <n v="10429"/>
    <s v="Joko Siregar"/>
    <s v=""/>
    <x v="2"/>
    <x v="3"/>
    <x v="18"/>
    <x v="9"/>
    <n v="120000"/>
    <n v="360000"/>
    <d v="2025-04-11T00:00:00"/>
    <x v="7"/>
    <x v="3"/>
    <x v="4"/>
  </r>
  <r>
    <n v="10158"/>
    <s v="Budi Nugroho"/>
    <s v="088250029218"/>
    <x v="3"/>
    <x v="2"/>
    <x v="14"/>
    <x v="6"/>
    <n v="75000"/>
    <n v="75000"/>
    <d v="2025-11-11T00:00:00"/>
    <x v="4"/>
    <x v="3"/>
    <x v="4"/>
  </r>
  <r>
    <n v="10115"/>
    <s v="Fitri Nasution"/>
    <s v="088408621182"/>
    <x v="7"/>
    <x v="2"/>
    <x v="3"/>
    <x v="3"/>
    <n v="15000"/>
    <n v="105000"/>
    <d v="2025-01-09T00:00:00"/>
    <x v="0"/>
    <x v="0"/>
    <x v="2"/>
  </r>
  <r>
    <n v="10345"/>
    <s v="Indah Rahayu"/>
    <s v=""/>
    <x v="4"/>
    <x v="2"/>
    <x v="2"/>
    <x v="3"/>
    <n v="45000"/>
    <n v="315000"/>
    <d v="2025-02-28T00:00:00"/>
    <x v="6"/>
    <x v="3"/>
    <x v="4"/>
  </r>
  <r>
    <n v="10431"/>
    <s v="Vina Halim"/>
    <s v="088724399201"/>
    <x v="1"/>
    <x v="4"/>
    <x v="6"/>
    <x v="0"/>
    <n v="15000"/>
    <n v="120000"/>
    <d v="2025-07-05T00:00:00"/>
    <x v="8"/>
    <x v="2"/>
    <x v="4"/>
  </r>
  <r>
    <n v="10007"/>
    <s v="Budi Nugroho"/>
    <s v="088896383465"/>
    <x v="5"/>
    <x v="1"/>
    <x v="1"/>
    <x v="1"/>
    <n v="35000"/>
    <n v="315000"/>
    <d v="2025-03-07T00:00:00"/>
    <x v="11"/>
    <x v="4"/>
    <x v="3"/>
  </r>
  <r>
    <n v="10194"/>
    <s v="Fitri Nugroho"/>
    <s v="088858333945"/>
    <x v="1"/>
    <x v="0"/>
    <x v="21"/>
    <x v="9"/>
    <n v="35000"/>
    <n v="105000"/>
    <d v="2025-07-31T00:00:00"/>
    <x v="8"/>
    <x v="0"/>
    <x v="3"/>
  </r>
  <r>
    <n v="10356"/>
    <s v="Putri Halim"/>
    <s v="088528092428"/>
    <x v="2"/>
    <x v="3"/>
    <x v="24"/>
    <x v="2"/>
    <n v="150000"/>
    <n v="750000"/>
    <d v="2025-11-14T00:00:00"/>
    <x v="4"/>
    <x v="4"/>
    <x v="2"/>
  </r>
  <r>
    <n v="10438"/>
    <s v="Bella Kusuma"/>
    <s v="088802714872"/>
    <x v="1"/>
    <x v="3"/>
    <x v="4"/>
    <x v="2"/>
    <n v="199000"/>
    <n v="995000"/>
    <d v="2025-10-04T00:00:00"/>
    <x v="9"/>
    <x v="3"/>
    <x v="3"/>
  </r>
  <r>
    <n v="10535"/>
    <s v="Putri Santoso"/>
    <s v="088610023117"/>
    <x v="0"/>
    <x v="2"/>
    <x v="20"/>
    <x v="9"/>
    <n v="75000"/>
    <n v="225000"/>
    <d v="2025-10-29T00:00:00"/>
    <x v="9"/>
    <x v="0"/>
    <x v="2"/>
  </r>
  <r>
    <n v="10268"/>
    <s v="Fajar Wijaya"/>
    <s v="088407778097"/>
    <x v="4"/>
    <x v="1"/>
    <x v="22"/>
    <x v="9"/>
    <n v="25000"/>
    <n v="75000"/>
    <d v="2025-03-09T00:00:00"/>
    <x v="11"/>
    <x v="3"/>
    <x v="0"/>
  </r>
  <r>
    <n v="10363"/>
    <s v="Indah Marpaung"/>
    <s v="088732788147"/>
    <x v="1"/>
    <x v="2"/>
    <x v="2"/>
    <x v="3"/>
    <n v="250000"/>
    <n v="1750000"/>
    <d v="2025-07-08T00:00:00"/>
    <x v="8"/>
    <x v="2"/>
    <x v="0"/>
  </r>
  <r>
    <n v="10248"/>
    <s v="Vina Nasution"/>
    <s v="08014138113"/>
    <x v="8"/>
    <x v="3"/>
    <x v="18"/>
    <x v="1"/>
    <n v="99000"/>
    <n v="891000"/>
    <d v="2025-07-08T00:00:00"/>
    <x v="8"/>
    <x v="2"/>
    <x v="3"/>
  </r>
  <r>
    <n v="10193"/>
    <s v="Eka Nasution"/>
    <s v="088221699586"/>
    <x v="0"/>
    <x v="3"/>
    <x v="8"/>
    <x v="3"/>
    <n v="199000"/>
    <n v="1393000"/>
    <d v="2025-09-05T00:00:00"/>
    <x v="10"/>
    <x v="0"/>
    <x v="4"/>
  </r>
  <r>
    <n v="10191"/>
    <s v="Kiki Halim"/>
    <s v="088305548851"/>
    <x v="3"/>
    <x v="0"/>
    <x v="7"/>
    <x v="7"/>
    <n v="199000"/>
    <n v="1990000"/>
    <d v="2025-08-31T00:00:00"/>
    <x v="3"/>
    <x v="1"/>
    <x v="1"/>
  </r>
  <r>
    <n v="10333"/>
    <s v="Fajar Simatupang"/>
    <s v="08517182754"/>
    <x v="9"/>
    <x v="1"/>
    <x v="12"/>
    <x v="5"/>
    <n v="150000"/>
    <n v="600000"/>
    <d v="2025-04-27T00:00:00"/>
    <x v="7"/>
    <x v="4"/>
    <x v="0"/>
  </r>
  <r>
    <n v="10160"/>
    <s v="Zaki Saputra"/>
    <s v="088725135521"/>
    <x v="1"/>
    <x v="3"/>
    <x v="19"/>
    <x v="7"/>
    <n v="75000"/>
    <n v="750000"/>
    <d v="2025-11-10T00:00:00"/>
    <x v="4"/>
    <x v="3"/>
    <x v="3"/>
  </r>
  <r>
    <n v="10417"/>
    <s v="Made Wijaya"/>
    <s v="088511856724"/>
    <x v="9"/>
    <x v="2"/>
    <x v="20"/>
    <x v="4"/>
    <n v="45000"/>
    <n v="90000"/>
    <d v="2025-09-10T00:00:00"/>
    <x v="10"/>
    <x v="4"/>
    <x v="3"/>
  </r>
  <r>
    <n v="10318"/>
    <s v="Tono Gunawan"/>
    <s v="088424375402"/>
    <x v="8"/>
    <x v="2"/>
    <x v="3"/>
    <x v="0"/>
    <n v="120000"/>
    <n v="960000"/>
    <d v="2025-05-06T00:00:00"/>
    <x v="1"/>
    <x v="0"/>
    <x v="4"/>
  </r>
  <r>
    <n v="10176"/>
    <s v="Yani Hidayat"/>
    <s v="088172482513"/>
    <x v="3"/>
    <x v="2"/>
    <x v="14"/>
    <x v="8"/>
    <n v="150000"/>
    <n v="900000"/>
    <d v="2025-06-03T00:00:00"/>
    <x v="2"/>
    <x v="3"/>
    <x v="3"/>
  </r>
  <r>
    <n v="10087"/>
    <s v="Umi Kusuma"/>
    <s v="088900109439"/>
    <x v="9"/>
    <x v="2"/>
    <x v="2"/>
    <x v="9"/>
    <n v="250000"/>
    <n v="750000"/>
    <d v="2025-11-16T00:00:00"/>
    <x v="4"/>
    <x v="0"/>
    <x v="2"/>
  </r>
  <r>
    <n v="10244"/>
    <s v="Yani Siregar"/>
    <s v="088285574982"/>
    <x v="9"/>
    <x v="3"/>
    <x v="4"/>
    <x v="0"/>
    <n v="150000"/>
    <n v="1200000"/>
    <d v="2025-05-31T00:00:00"/>
    <x v="1"/>
    <x v="0"/>
    <x v="1"/>
  </r>
  <r>
    <n v="10207"/>
    <s v="Tono Halim"/>
    <s v="088257775478"/>
    <x v="1"/>
    <x v="3"/>
    <x v="18"/>
    <x v="5"/>
    <n v="45000"/>
    <n v="180000"/>
    <d v="2025-12-31T00:00:00"/>
    <x v="5"/>
    <x v="4"/>
    <x v="2"/>
  </r>
  <r>
    <n v="10264"/>
    <s v="Fajar Simatupang"/>
    <s v="08656999880"/>
    <x v="8"/>
    <x v="0"/>
    <x v="21"/>
    <x v="5"/>
    <n v="99000"/>
    <n v="396000"/>
    <d v="2025-07-27T00:00:00"/>
    <x v="8"/>
    <x v="2"/>
    <x v="3"/>
  </r>
  <r>
    <n v="10260"/>
    <s v="Vina Setiawan"/>
    <s v="08893639264"/>
    <x v="7"/>
    <x v="0"/>
    <x v="13"/>
    <x v="9"/>
    <n v="75000"/>
    <n v="225000"/>
    <d v="2025-07-21T00:00:00"/>
    <x v="8"/>
    <x v="3"/>
    <x v="0"/>
  </r>
  <r>
    <n v="10377"/>
    <s v="Budi Gunawan"/>
    <s v="08200894346"/>
    <x v="9"/>
    <x v="2"/>
    <x v="20"/>
    <x v="5"/>
    <n v="25000"/>
    <n v="100000"/>
    <d v="2025-09-19T00:00:00"/>
    <x v="10"/>
    <x v="0"/>
    <x v="2"/>
  </r>
  <r>
    <n v="10340"/>
    <s v="Andi Gunawan"/>
    <s v="08491141520"/>
    <x v="5"/>
    <x v="0"/>
    <x v="17"/>
    <x v="3"/>
    <n v="75000"/>
    <n v="525000"/>
    <d v="2025-01-29T00:00:00"/>
    <x v="0"/>
    <x v="3"/>
    <x v="4"/>
  </r>
  <r>
    <n v="10006"/>
    <s v="Zaki Setiawan"/>
    <s v="088880957015"/>
    <x v="9"/>
    <x v="3"/>
    <x v="18"/>
    <x v="1"/>
    <n v="199000"/>
    <n v="1791000"/>
    <d v="2025-04-12T00:00:00"/>
    <x v="7"/>
    <x v="3"/>
    <x v="2"/>
  </r>
  <r>
    <n v="10299"/>
    <s v="Umi Siregar"/>
    <s v="088101194707"/>
    <x v="8"/>
    <x v="4"/>
    <x v="23"/>
    <x v="3"/>
    <n v="45000"/>
    <n v="315000"/>
    <d v="2025-11-11T00:00:00"/>
    <x v="4"/>
    <x v="2"/>
    <x v="1"/>
  </r>
  <r>
    <n v="10477"/>
    <s v="Eka Rahayu"/>
    <s v="08225267711"/>
    <x v="4"/>
    <x v="3"/>
    <x v="18"/>
    <x v="0"/>
    <n v="250000"/>
    <n v="2000000"/>
    <d v="2025-07-08T00:00:00"/>
    <x v="8"/>
    <x v="1"/>
    <x v="0"/>
  </r>
  <r>
    <n v="10567"/>
    <s v="Dewi Rahayu"/>
    <s v="088627796304"/>
    <x v="8"/>
    <x v="4"/>
    <x v="11"/>
    <x v="4"/>
    <n v="35000"/>
    <n v="70000"/>
    <d v="2025-08-26T00:00:00"/>
    <x v="3"/>
    <x v="1"/>
    <x v="0"/>
  </r>
  <r>
    <n v="10549"/>
    <s v="Bella Wijaya"/>
    <s v="08673204413"/>
    <x v="0"/>
    <x v="0"/>
    <x v="7"/>
    <x v="0"/>
    <n v="99000"/>
    <n v="792000"/>
    <d v="2025-10-21T00:00:00"/>
    <x v="9"/>
    <x v="0"/>
    <x v="3"/>
  </r>
  <r>
    <n v="10515"/>
    <s v="Wawan Hidayat"/>
    <s v="088472812356"/>
    <x v="1"/>
    <x v="1"/>
    <x v="1"/>
    <x v="8"/>
    <n v="45000"/>
    <n v="270000"/>
    <d v="2025-10-30T00:00:00"/>
    <x v="9"/>
    <x v="0"/>
    <x v="3"/>
  </r>
  <r>
    <n v="10546"/>
    <s v="Erik Setiawan"/>
    <s v="088328348315"/>
    <x v="0"/>
    <x v="3"/>
    <x v="24"/>
    <x v="8"/>
    <n v="99000"/>
    <n v="594000"/>
    <d v="2025-12-28T00:00:00"/>
    <x v="5"/>
    <x v="0"/>
    <x v="1"/>
  </r>
  <r>
    <n v="10116"/>
    <s v="Umi Setiawan"/>
    <s v="088101666870"/>
    <x v="4"/>
    <x v="3"/>
    <x v="18"/>
    <x v="3"/>
    <n v="120000"/>
    <n v="840000"/>
    <d v="2025-10-17T00:00:00"/>
    <x v="9"/>
    <x v="3"/>
    <x v="4"/>
  </r>
  <r>
    <n v="10131"/>
    <s v="Made Marpaung"/>
    <s v="08790507236"/>
    <x v="8"/>
    <x v="2"/>
    <x v="2"/>
    <x v="1"/>
    <n v="35000"/>
    <n v="315000"/>
    <d v="2025-09-08T00:00:00"/>
    <x v="10"/>
    <x v="1"/>
    <x v="4"/>
  </r>
  <r>
    <n v="10486"/>
    <s v="Tono Siregar"/>
    <s v="088332288985"/>
    <x v="2"/>
    <x v="0"/>
    <x v="13"/>
    <x v="9"/>
    <n v="250000"/>
    <n v="750000"/>
    <d v="2025-08-26T00:00:00"/>
    <x v="3"/>
    <x v="2"/>
    <x v="0"/>
  </r>
  <r>
    <n v="10326"/>
    <s v="Citra Halim"/>
    <s v=""/>
    <x v="8"/>
    <x v="1"/>
    <x v="22"/>
    <x v="0"/>
    <n v="25000"/>
    <n v="200000"/>
    <d v="2025-11-07T00:00:00"/>
    <x v="4"/>
    <x v="0"/>
    <x v="3"/>
  </r>
  <r>
    <n v="10550"/>
    <s v="Kiki Siregar"/>
    <s v="088542770707"/>
    <x v="2"/>
    <x v="0"/>
    <x v="17"/>
    <x v="2"/>
    <n v="250000"/>
    <n v="1250000"/>
    <d v="2025-08-11T00:00:00"/>
    <x v="3"/>
    <x v="2"/>
    <x v="0"/>
  </r>
  <r>
    <n v="10450"/>
    <s v="Budi Hidayat"/>
    <s v="088961844626"/>
    <x v="4"/>
    <x v="4"/>
    <x v="23"/>
    <x v="1"/>
    <n v="45000"/>
    <n v="405000"/>
    <d v="2025-10-30T00:00:00"/>
    <x v="9"/>
    <x v="1"/>
    <x v="2"/>
  </r>
  <r>
    <n v="10036"/>
    <s v="Umi Nugroho"/>
    <s v=""/>
    <x v="1"/>
    <x v="1"/>
    <x v="22"/>
    <x v="7"/>
    <n v="99000"/>
    <n v="990000"/>
    <d v="2025-06-06T00:00:00"/>
    <x v="2"/>
    <x v="0"/>
    <x v="3"/>
  </r>
  <r>
    <n v="10079"/>
    <s v="Citra Simatupang"/>
    <s v="088874034505"/>
    <x v="4"/>
    <x v="3"/>
    <x v="19"/>
    <x v="6"/>
    <n v="75000"/>
    <n v="75000"/>
    <d v="2025-08-06T00:00:00"/>
    <x v="3"/>
    <x v="0"/>
    <x v="1"/>
  </r>
  <r>
    <n v="10379"/>
    <s v="Joko Lestari"/>
    <s v="088266110627"/>
    <x v="0"/>
    <x v="4"/>
    <x v="5"/>
    <x v="8"/>
    <n v="150000"/>
    <n v="900000"/>
    <d v="2025-10-26T00:00:00"/>
    <x v="9"/>
    <x v="3"/>
    <x v="2"/>
  </r>
  <r>
    <n v="10243"/>
    <s v="Lina Kusuma"/>
    <s v="088812735857"/>
    <x v="9"/>
    <x v="3"/>
    <x v="8"/>
    <x v="8"/>
    <n v="250000"/>
    <n v="1500000"/>
    <d v="2025-01-31T00:00:00"/>
    <x v="0"/>
    <x v="2"/>
    <x v="2"/>
  </r>
  <r>
    <n v="10156"/>
    <s v="Made Setiawan"/>
    <s v="088932133480"/>
    <x v="7"/>
    <x v="2"/>
    <x v="2"/>
    <x v="6"/>
    <n v="50000"/>
    <n v="50000"/>
    <d v="2025-01-30T00:00:00"/>
    <x v="0"/>
    <x v="4"/>
    <x v="3"/>
  </r>
  <r>
    <n v="10339"/>
    <s v="Wawan Nasution"/>
    <s v="088545009025"/>
    <x v="0"/>
    <x v="2"/>
    <x v="16"/>
    <x v="3"/>
    <n v="50000"/>
    <n v="350000"/>
    <d v="2025-09-11T00:00:00"/>
    <x v="10"/>
    <x v="0"/>
    <x v="1"/>
  </r>
  <r>
    <n v="10414"/>
    <s v="Gita Kusuma"/>
    <s v="088256621286"/>
    <x v="4"/>
    <x v="4"/>
    <x v="10"/>
    <x v="1"/>
    <n v="25000"/>
    <n v="225000"/>
    <d v="2025-08-21T00:00:00"/>
    <x v="3"/>
    <x v="2"/>
    <x v="2"/>
  </r>
  <r>
    <n v="10157"/>
    <s v="Dian Siregar"/>
    <s v="088929378427"/>
    <x v="9"/>
    <x v="4"/>
    <x v="23"/>
    <x v="8"/>
    <n v="75000"/>
    <n v="450000"/>
    <d v="2025-10-30T00:00:00"/>
    <x v="9"/>
    <x v="2"/>
    <x v="2"/>
  </r>
  <r>
    <n v="10427"/>
    <s v="Hadi Kusuma"/>
    <s v="088973471566"/>
    <x v="8"/>
    <x v="4"/>
    <x v="6"/>
    <x v="5"/>
    <n v="99000"/>
    <n v="396000"/>
    <d v="2025-04-01T00:00:00"/>
    <x v="7"/>
    <x v="0"/>
    <x v="4"/>
  </r>
  <r>
    <n v="10288"/>
    <s v="Hadi Santoso"/>
    <s v="088009751971"/>
    <x v="2"/>
    <x v="2"/>
    <x v="14"/>
    <x v="5"/>
    <n v="150000"/>
    <n v="600000"/>
    <d v="2025-05-18T00:00:00"/>
    <x v="1"/>
    <x v="4"/>
    <x v="3"/>
  </r>
  <r>
    <n v="10456"/>
    <s v="Nita Lestari"/>
    <s v="08853890972"/>
    <x v="8"/>
    <x v="2"/>
    <x v="16"/>
    <x v="3"/>
    <n v="15000"/>
    <n v="105000"/>
    <d v="2025-11-12T00:00:00"/>
    <x v="4"/>
    <x v="3"/>
    <x v="0"/>
  </r>
  <r>
    <n v="10527"/>
    <s v="Joko Santoso"/>
    <s v="088344149782"/>
    <x v="1"/>
    <x v="0"/>
    <x v="7"/>
    <x v="9"/>
    <n v="250000"/>
    <n v="750000"/>
    <d v="2025-04-13T00:00:00"/>
    <x v="7"/>
    <x v="1"/>
    <x v="4"/>
  </r>
  <r>
    <n v="10013"/>
    <s v="Budi Kusuma"/>
    <s v="088247510799"/>
    <x v="2"/>
    <x v="2"/>
    <x v="20"/>
    <x v="2"/>
    <n v="45000"/>
    <n v="225000"/>
    <d v="2025-09-12T00:00:00"/>
    <x v="10"/>
    <x v="1"/>
    <x v="4"/>
  </r>
  <r>
    <n v="10556"/>
    <s v="Yani Nugroho"/>
    <s v="088763928369"/>
    <x v="1"/>
    <x v="3"/>
    <x v="18"/>
    <x v="1"/>
    <n v="150000"/>
    <n v="1350000"/>
    <d v="2025-02-09T00:00:00"/>
    <x v="6"/>
    <x v="1"/>
    <x v="1"/>
  </r>
  <r>
    <n v="10049"/>
    <s v="Yani Setiawan"/>
    <s v="088406409097"/>
    <x v="4"/>
    <x v="1"/>
    <x v="12"/>
    <x v="4"/>
    <n v="45000"/>
    <n v="90000"/>
    <d v="2025-07-15T00:00:00"/>
    <x v="8"/>
    <x v="0"/>
    <x v="2"/>
  </r>
  <r>
    <n v="10075"/>
    <s v="Lina Nugroho"/>
    <s v="088472779010"/>
    <x v="5"/>
    <x v="4"/>
    <x v="5"/>
    <x v="8"/>
    <n v="25000"/>
    <n v="150000"/>
    <d v="2025-11-29T00:00:00"/>
    <x v="4"/>
    <x v="1"/>
    <x v="4"/>
  </r>
  <r>
    <n v="10071"/>
    <s v="Vina Marpaung"/>
    <s v="088221418880"/>
    <x v="6"/>
    <x v="0"/>
    <x v="17"/>
    <x v="9"/>
    <n v="45000"/>
    <n v="135000"/>
    <d v="2025-06-24T00:00:00"/>
    <x v="2"/>
    <x v="4"/>
    <x v="4"/>
  </r>
  <r>
    <n v="10585"/>
    <s v="Tono Rahayu"/>
    <s v="088604409079"/>
    <x v="5"/>
    <x v="0"/>
    <x v="7"/>
    <x v="6"/>
    <n v="199000"/>
    <n v="199000"/>
    <d v="2025-05-20T00:00:00"/>
    <x v="1"/>
    <x v="2"/>
    <x v="2"/>
  </r>
  <r>
    <n v="10140"/>
    <s v="Tono Saputra"/>
    <s v="088121965652"/>
    <x v="9"/>
    <x v="0"/>
    <x v="13"/>
    <x v="9"/>
    <n v="99000"/>
    <n v="297000"/>
    <d v="2025-12-11T00:00:00"/>
    <x v="5"/>
    <x v="4"/>
    <x v="4"/>
  </r>
  <r>
    <n v="10538"/>
    <s v="Tono Saputra"/>
    <s v="08873397855"/>
    <x v="3"/>
    <x v="4"/>
    <x v="5"/>
    <x v="8"/>
    <n v="99000"/>
    <n v="594000"/>
    <d v="2025-10-18T00:00:00"/>
    <x v="9"/>
    <x v="0"/>
    <x v="0"/>
  </r>
  <r>
    <n v="10593"/>
    <s v="Vina Pratama"/>
    <s v="088966734595"/>
    <x v="6"/>
    <x v="4"/>
    <x v="11"/>
    <x v="1"/>
    <n v="35000"/>
    <n v="315000"/>
    <d v="2025-01-12T00:00:00"/>
    <x v="0"/>
    <x v="4"/>
    <x v="3"/>
  </r>
  <r>
    <n v="10504"/>
    <s v="Dewi Gunawan"/>
    <s v="088080882351"/>
    <x v="8"/>
    <x v="2"/>
    <x v="3"/>
    <x v="6"/>
    <n v="35000"/>
    <n v="35000"/>
    <d v="2025-09-25T00:00:00"/>
    <x v="10"/>
    <x v="1"/>
    <x v="0"/>
  </r>
  <r>
    <n v="10559"/>
    <s v="Zaki Wijaya"/>
    <s v="088981209957"/>
    <x v="6"/>
    <x v="1"/>
    <x v="12"/>
    <x v="3"/>
    <n v="50000"/>
    <n v="350000"/>
    <d v="2025-02-09T00:00:00"/>
    <x v="6"/>
    <x v="3"/>
    <x v="4"/>
  </r>
  <r>
    <n v="10506"/>
    <s v="Made Pratama"/>
    <s v="088591966395"/>
    <x v="2"/>
    <x v="4"/>
    <x v="6"/>
    <x v="0"/>
    <n v="99000"/>
    <n v="792000"/>
    <d v="2025-08-17T00:00:00"/>
    <x v="3"/>
    <x v="4"/>
    <x v="3"/>
  </r>
  <r>
    <n v="10151"/>
    <s v="Hadi Kusuma"/>
    <s v="088853747411"/>
    <x v="9"/>
    <x v="3"/>
    <x v="19"/>
    <x v="4"/>
    <n v="35000"/>
    <n v="70000"/>
    <d v="2025-08-19T00:00:00"/>
    <x v="3"/>
    <x v="4"/>
    <x v="2"/>
  </r>
  <r>
    <n v="10175"/>
    <s v="Vina Gunawan"/>
    <s v="088520744666"/>
    <x v="4"/>
    <x v="0"/>
    <x v="13"/>
    <x v="9"/>
    <n v="150000"/>
    <n v="450000"/>
    <d v="2025-05-04T00:00:00"/>
    <x v="1"/>
    <x v="2"/>
    <x v="3"/>
  </r>
  <r>
    <n v="10395"/>
    <s v="Yani Setiawan"/>
    <s v="08775803046"/>
    <x v="8"/>
    <x v="1"/>
    <x v="1"/>
    <x v="8"/>
    <n v="99000"/>
    <n v="594000"/>
    <d v="2025-07-28T00:00:00"/>
    <x v="8"/>
    <x v="1"/>
    <x v="0"/>
  </r>
  <r>
    <n v="10523"/>
    <s v="Nita Nugroho"/>
    <s v="088614878245"/>
    <x v="6"/>
    <x v="3"/>
    <x v="19"/>
    <x v="7"/>
    <n v="99000"/>
    <n v="990000"/>
    <d v="2025-07-04T00:00:00"/>
    <x v="8"/>
    <x v="3"/>
    <x v="0"/>
  </r>
  <r>
    <n v="10251"/>
    <s v="Andi Lestari"/>
    <s v="088992107522"/>
    <x v="7"/>
    <x v="4"/>
    <x v="6"/>
    <x v="8"/>
    <n v="15000"/>
    <n v="90000"/>
    <d v="2025-12-20T00:00:00"/>
    <x v="5"/>
    <x v="1"/>
    <x v="3"/>
  </r>
  <r>
    <n v="10446"/>
    <s v="Vina Siregar"/>
    <s v="088783099974"/>
    <x v="8"/>
    <x v="1"/>
    <x v="22"/>
    <x v="0"/>
    <n v="75000"/>
    <n v="600000"/>
    <d v="2025-01-06T00:00:00"/>
    <x v="0"/>
    <x v="2"/>
    <x v="0"/>
  </r>
  <r>
    <n v="10037"/>
    <s v="Ahmad Hidayat"/>
    <s v=""/>
    <x v="4"/>
    <x v="3"/>
    <x v="19"/>
    <x v="5"/>
    <n v="35000"/>
    <n v="140000"/>
    <d v="2025-10-10T00:00:00"/>
    <x v="9"/>
    <x v="2"/>
    <x v="4"/>
  </r>
  <r>
    <n v="10597"/>
    <s v="Sari Kusuma"/>
    <s v="088809961327"/>
    <x v="8"/>
    <x v="2"/>
    <x v="16"/>
    <x v="5"/>
    <n v="199000"/>
    <n v="796000"/>
    <d v="2025-02-04T00:00:00"/>
    <x v="6"/>
    <x v="3"/>
    <x v="2"/>
  </r>
  <r>
    <n v="10168"/>
    <s v="Bella Marpaung"/>
    <s v="088485646799"/>
    <x v="1"/>
    <x v="4"/>
    <x v="23"/>
    <x v="7"/>
    <n v="199000"/>
    <n v="1990000"/>
    <d v="2025-02-21T00:00:00"/>
    <x v="6"/>
    <x v="2"/>
    <x v="3"/>
  </r>
  <r>
    <n v="10135"/>
    <s v="Ahmad Marpaung"/>
    <s v="088672946671"/>
    <x v="4"/>
    <x v="4"/>
    <x v="6"/>
    <x v="5"/>
    <n v="35000"/>
    <n v="140000"/>
    <d v="2025-12-31T00:00:00"/>
    <x v="5"/>
    <x v="1"/>
    <x v="4"/>
  </r>
  <r>
    <n v="10107"/>
    <s v="Umi Saputra"/>
    <s v="088673830284"/>
    <x v="3"/>
    <x v="3"/>
    <x v="8"/>
    <x v="6"/>
    <n v="120000"/>
    <n v="120000"/>
    <d v="2025-11-03T00:00:00"/>
    <x v="4"/>
    <x v="2"/>
    <x v="4"/>
  </r>
  <r>
    <n v="10247"/>
    <s v="Wawan Nasution"/>
    <s v=""/>
    <x v="2"/>
    <x v="2"/>
    <x v="20"/>
    <x v="6"/>
    <n v="75000"/>
    <n v="75000"/>
    <d v="2025-04-24T00:00:00"/>
    <x v="7"/>
    <x v="0"/>
    <x v="0"/>
  </r>
  <r>
    <n v="10072"/>
    <s v="Eka Siregar"/>
    <s v="088947383473"/>
    <x v="9"/>
    <x v="2"/>
    <x v="2"/>
    <x v="0"/>
    <n v="15000"/>
    <n v="120000"/>
    <d v="2025-07-30T00:00:00"/>
    <x v="8"/>
    <x v="1"/>
    <x v="4"/>
  </r>
  <r>
    <n v="10173"/>
    <s v="Ahmad Hidayat"/>
    <s v="088290349446"/>
    <x v="3"/>
    <x v="4"/>
    <x v="10"/>
    <x v="3"/>
    <n v="150000"/>
    <n v="1050000"/>
    <d v="2025-11-01T00:00:00"/>
    <x v="4"/>
    <x v="2"/>
    <x v="1"/>
  </r>
  <r>
    <n v="10578"/>
    <s v="Umi Halim"/>
    <s v="088735228705"/>
    <x v="9"/>
    <x v="0"/>
    <x v="7"/>
    <x v="5"/>
    <n v="199000"/>
    <n v="796000"/>
    <d v="2025-07-10T00:00:00"/>
    <x v="8"/>
    <x v="0"/>
    <x v="3"/>
  </r>
  <r>
    <n v="10211"/>
    <s v="Rian Halim"/>
    <s v="088498926659"/>
    <x v="8"/>
    <x v="3"/>
    <x v="24"/>
    <x v="8"/>
    <n v="25000"/>
    <n v="150000"/>
    <d v="2025-12-27T00:00:00"/>
    <x v="5"/>
    <x v="0"/>
    <x v="2"/>
  </r>
  <r>
    <n v="10187"/>
    <s v="Putri Nasution"/>
    <s v="088993588916"/>
    <x v="1"/>
    <x v="3"/>
    <x v="24"/>
    <x v="2"/>
    <n v="250000"/>
    <n v="1250000"/>
    <d v="2025-06-10T00:00:00"/>
    <x v="2"/>
    <x v="2"/>
    <x v="3"/>
  </r>
  <r>
    <n v="10086"/>
    <s v="Erik Santoso"/>
    <s v="088358414384"/>
    <x v="1"/>
    <x v="3"/>
    <x v="24"/>
    <x v="1"/>
    <n v="35000"/>
    <n v="315000"/>
    <d v="2025-05-06T00:00:00"/>
    <x v="1"/>
    <x v="3"/>
    <x v="4"/>
  </r>
  <r>
    <n v="10057"/>
    <s v="Nita Pratama"/>
    <s v="08985698478"/>
    <x v="8"/>
    <x v="3"/>
    <x v="18"/>
    <x v="7"/>
    <n v="35000"/>
    <n v="350000"/>
    <d v="2025-02-03T00:00:00"/>
    <x v="6"/>
    <x v="3"/>
    <x v="2"/>
  </r>
  <r>
    <n v="10534"/>
    <s v="Andi Santoso"/>
    <s v="088595724461"/>
    <x v="0"/>
    <x v="4"/>
    <x v="10"/>
    <x v="1"/>
    <n v="99000"/>
    <n v="891000"/>
    <d v="2025-09-20T00:00:00"/>
    <x v="10"/>
    <x v="2"/>
    <x v="4"/>
  </r>
  <r>
    <n v="10074"/>
    <s v="Dian Halim"/>
    <s v="088261375060"/>
    <x v="5"/>
    <x v="2"/>
    <x v="16"/>
    <x v="2"/>
    <n v="25000"/>
    <n v="125000"/>
    <d v="2025-03-24T00:00:00"/>
    <x v="11"/>
    <x v="1"/>
    <x v="1"/>
  </r>
  <r>
    <n v="10053"/>
    <s v="Putri Pratama"/>
    <s v="088261796405"/>
    <x v="3"/>
    <x v="4"/>
    <x v="11"/>
    <x v="0"/>
    <n v="75000"/>
    <n v="600000"/>
    <d v="2025-12-10T00:00:00"/>
    <x v="5"/>
    <x v="0"/>
    <x v="1"/>
  </r>
  <r>
    <n v="10063"/>
    <s v="Wawan Rahayu"/>
    <s v="08451076226"/>
    <x v="3"/>
    <x v="2"/>
    <x v="16"/>
    <x v="6"/>
    <n v="45000"/>
    <n v="45000"/>
    <d v="2025-06-04T00:00:00"/>
    <x v="2"/>
    <x v="3"/>
    <x v="4"/>
  </r>
  <r>
    <n v="10219"/>
    <s v="Sari Nasution"/>
    <s v="08137213865"/>
    <x v="6"/>
    <x v="2"/>
    <x v="14"/>
    <x v="2"/>
    <n v="50000"/>
    <n v="250000"/>
    <d v="2025-10-23T00:00:00"/>
    <x v="9"/>
    <x v="1"/>
    <x v="1"/>
  </r>
  <r>
    <n v="10225"/>
    <s v="Dian Saputra"/>
    <s v="088588043416"/>
    <x v="5"/>
    <x v="3"/>
    <x v="4"/>
    <x v="5"/>
    <n v="250000"/>
    <n v="1000000"/>
    <d v="2025-12-26T00:00:00"/>
    <x v="5"/>
    <x v="3"/>
    <x v="2"/>
  </r>
  <r>
    <n v="10548"/>
    <s v="Hadi Hidayat"/>
    <s v="088095493059"/>
    <x v="9"/>
    <x v="1"/>
    <x v="15"/>
    <x v="6"/>
    <n v="250000"/>
    <n v="250000"/>
    <d v="2025-06-06T00:00:00"/>
    <x v="2"/>
    <x v="2"/>
    <x v="3"/>
  </r>
  <r>
    <n v="10501"/>
    <s v="Citra Kusuma"/>
    <s v="08027523343"/>
    <x v="1"/>
    <x v="2"/>
    <x v="2"/>
    <x v="6"/>
    <n v="199000"/>
    <n v="199000"/>
    <d v="2025-12-29T00:00:00"/>
    <x v="5"/>
    <x v="0"/>
    <x v="0"/>
  </r>
  <r>
    <n v="10499"/>
    <s v="Joko Setiawan"/>
    <s v="088895529638"/>
    <x v="4"/>
    <x v="4"/>
    <x v="5"/>
    <x v="3"/>
    <n v="15000"/>
    <n v="105000"/>
    <d v="2025-01-08T00:00:00"/>
    <x v="0"/>
    <x v="2"/>
    <x v="4"/>
  </r>
  <r>
    <n v="10186"/>
    <s v="Made Siregar"/>
    <s v="088979729659"/>
    <x v="4"/>
    <x v="1"/>
    <x v="12"/>
    <x v="9"/>
    <n v="25000"/>
    <n v="75000"/>
    <d v="2025-03-09T00:00:00"/>
    <x v="11"/>
    <x v="2"/>
    <x v="4"/>
  </r>
  <r>
    <n v="10020"/>
    <s v="Andi Hidayat"/>
    <s v="088656482366"/>
    <x v="1"/>
    <x v="0"/>
    <x v="7"/>
    <x v="8"/>
    <n v="250000"/>
    <n v="1500000"/>
    <d v="2025-03-05T00:00:00"/>
    <x v="11"/>
    <x v="1"/>
    <x v="3"/>
  </r>
  <r>
    <n v="10530"/>
    <s v="Tono Nasution"/>
    <s v="088723244079"/>
    <x v="7"/>
    <x v="2"/>
    <x v="3"/>
    <x v="6"/>
    <n v="45000"/>
    <n v="45000"/>
    <d v="2025-09-22T00:00:00"/>
    <x v="10"/>
    <x v="3"/>
    <x v="3"/>
  </r>
  <r>
    <n v="10203"/>
    <s v="Vina Kusuma"/>
    <s v="088766072832"/>
    <x v="7"/>
    <x v="3"/>
    <x v="18"/>
    <x v="1"/>
    <n v="25000"/>
    <n v="225000"/>
    <d v="2025-05-29T00:00:00"/>
    <x v="1"/>
    <x v="1"/>
    <x v="3"/>
  </r>
  <r>
    <n v="10149"/>
    <s v="Andi Marpaung"/>
    <s v="088836702410"/>
    <x v="3"/>
    <x v="0"/>
    <x v="0"/>
    <x v="8"/>
    <n v="15000"/>
    <n v="90000"/>
    <d v="2025-12-03T00:00:00"/>
    <x v="5"/>
    <x v="4"/>
    <x v="2"/>
  </r>
  <r>
    <n v="10563"/>
    <s v="Lina Hidayat"/>
    <s v="088674124151"/>
    <x v="2"/>
    <x v="1"/>
    <x v="15"/>
    <x v="9"/>
    <n v="120000"/>
    <n v="360000"/>
    <d v="2025-01-06T00:00:00"/>
    <x v="0"/>
    <x v="2"/>
    <x v="0"/>
  </r>
  <r>
    <n v="10516"/>
    <s v="Rian Hidayat"/>
    <s v="08113072407"/>
    <x v="3"/>
    <x v="0"/>
    <x v="21"/>
    <x v="9"/>
    <n v="250000"/>
    <n v="750000"/>
    <d v="2025-06-07T00:00:00"/>
    <x v="2"/>
    <x v="0"/>
    <x v="0"/>
  </r>
  <r>
    <n v="10246"/>
    <s v="Ahmad Lestari"/>
    <s v="08220317310"/>
    <x v="4"/>
    <x v="1"/>
    <x v="22"/>
    <x v="4"/>
    <n v="25000"/>
    <n v="50000"/>
    <d v="2025-09-25T00:00:00"/>
    <x v="10"/>
    <x v="2"/>
    <x v="0"/>
  </r>
  <r>
    <n v="10224"/>
    <s v="Fajar Marpaung"/>
    <s v="088947697357"/>
    <x v="5"/>
    <x v="3"/>
    <x v="8"/>
    <x v="2"/>
    <n v="75000"/>
    <n v="375000"/>
    <d v="2025-03-01T00:00:00"/>
    <x v="11"/>
    <x v="0"/>
    <x v="2"/>
  </r>
  <r>
    <n v="10573"/>
    <s v="Indah Nasution"/>
    <s v="088883607658"/>
    <x v="4"/>
    <x v="3"/>
    <x v="19"/>
    <x v="3"/>
    <n v="150000"/>
    <n v="1050000"/>
    <d v="2025-05-23T00:00:00"/>
    <x v="1"/>
    <x v="4"/>
    <x v="2"/>
  </r>
  <r>
    <n v="10591"/>
    <s v="Oki Santoso"/>
    <s v="088435884183"/>
    <x v="2"/>
    <x v="4"/>
    <x v="23"/>
    <x v="7"/>
    <n v="45000"/>
    <n v="450000"/>
    <d v="2025-12-26T00:00:00"/>
    <x v="5"/>
    <x v="4"/>
    <x v="2"/>
  </r>
  <r>
    <n v="10331"/>
    <s v="Tono Wijaya"/>
    <s v="08393250124"/>
    <x v="5"/>
    <x v="3"/>
    <x v="24"/>
    <x v="2"/>
    <n v="250000"/>
    <n v="1250000"/>
    <d v="2025-06-01T00:00:00"/>
    <x v="2"/>
    <x v="2"/>
    <x v="0"/>
  </r>
  <r>
    <n v="10394"/>
    <s v="Dian Setiawan"/>
    <s v="088921249384"/>
    <x v="0"/>
    <x v="4"/>
    <x v="23"/>
    <x v="5"/>
    <n v="250000"/>
    <n v="1000000"/>
    <d v="2025-10-17T00:00:00"/>
    <x v="9"/>
    <x v="0"/>
    <x v="3"/>
  </r>
  <r>
    <n v="10061"/>
    <s v="Lina Saputra"/>
    <s v="088675254599"/>
    <x v="9"/>
    <x v="1"/>
    <x v="1"/>
    <x v="9"/>
    <n v="250000"/>
    <n v="750000"/>
    <d v="2025-01-16T00:00:00"/>
    <x v="0"/>
    <x v="2"/>
    <x v="3"/>
  </r>
  <r>
    <n v="10275"/>
    <s v="Tono Gunawan"/>
    <s v="088568299629"/>
    <x v="0"/>
    <x v="4"/>
    <x v="23"/>
    <x v="8"/>
    <n v="75000"/>
    <n v="450000"/>
    <d v="2025-03-02T00:00:00"/>
    <x v="11"/>
    <x v="3"/>
    <x v="2"/>
  </r>
  <r>
    <n v="10366"/>
    <s v="Citra Setiawan"/>
    <s v="088697499564"/>
    <x v="1"/>
    <x v="3"/>
    <x v="24"/>
    <x v="3"/>
    <n v="25000"/>
    <n v="175000"/>
    <d v="2025-01-07T00:00:00"/>
    <x v="0"/>
    <x v="3"/>
    <x v="1"/>
  </r>
  <r>
    <n v="10133"/>
    <s v="Tono Pratama"/>
    <s v="088340745171"/>
    <x v="0"/>
    <x v="2"/>
    <x v="16"/>
    <x v="0"/>
    <n v="150000"/>
    <n v="1200000"/>
    <d v="2025-04-22T00:00:00"/>
    <x v="7"/>
    <x v="4"/>
    <x v="0"/>
  </r>
  <r>
    <n v="10213"/>
    <s v="Umi Pratama"/>
    <s v="08603029922"/>
    <x v="1"/>
    <x v="3"/>
    <x v="4"/>
    <x v="0"/>
    <n v="120000"/>
    <n v="960000"/>
    <d v="2025-04-18T00:00:00"/>
    <x v="7"/>
    <x v="0"/>
    <x v="4"/>
  </r>
  <r>
    <n v="10197"/>
    <s v="Bella Gunawan"/>
    <s v="08933472122"/>
    <x v="7"/>
    <x v="0"/>
    <x v="13"/>
    <x v="7"/>
    <n v="120000"/>
    <n v="1200000"/>
    <d v="2025-04-26T00:00:00"/>
    <x v="7"/>
    <x v="1"/>
    <x v="3"/>
  </r>
  <r>
    <n v="10266"/>
    <s v="Erik Lestari"/>
    <s v="088570279371"/>
    <x v="8"/>
    <x v="2"/>
    <x v="16"/>
    <x v="9"/>
    <n v="199000"/>
    <n v="597000"/>
    <d v="2025-12-23T00:00:00"/>
    <x v="5"/>
    <x v="0"/>
    <x v="4"/>
  </r>
  <r>
    <n v="10208"/>
    <s v="Vina Kusuma"/>
    <s v="088969308488"/>
    <x v="9"/>
    <x v="4"/>
    <x v="10"/>
    <x v="4"/>
    <n v="25000"/>
    <n v="50000"/>
    <d v="2025-01-10T00:00:00"/>
    <x v="0"/>
    <x v="0"/>
    <x v="0"/>
  </r>
  <r>
    <n v="10346"/>
    <s v="Oki Nasution"/>
    <s v="08482070015"/>
    <x v="1"/>
    <x v="3"/>
    <x v="19"/>
    <x v="9"/>
    <n v="50000"/>
    <n v="150000"/>
    <d v="2025-11-03T00:00:00"/>
    <x v="4"/>
    <x v="2"/>
    <x v="2"/>
  </r>
  <r>
    <n v="10489"/>
    <s v="Dian Rahayu"/>
    <s v="088687409038"/>
    <x v="1"/>
    <x v="4"/>
    <x v="11"/>
    <x v="8"/>
    <n v="150000"/>
    <n v="900000"/>
    <d v="2025-11-16T00:00:00"/>
    <x v="4"/>
    <x v="1"/>
    <x v="2"/>
  </r>
  <r>
    <n v="10016"/>
    <s v="Sari Marpaung"/>
    <s v="088204505331"/>
    <x v="7"/>
    <x v="3"/>
    <x v="19"/>
    <x v="1"/>
    <n v="15000"/>
    <n v="135000"/>
    <d v="2025-07-09T00:00:00"/>
    <x v="8"/>
    <x v="0"/>
    <x v="3"/>
  </r>
  <r>
    <n v="10003"/>
    <s v="Umi Santoso"/>
    <s v="088030564139"/>
    <x v="3"/>
    <x v="1"/>
    <x v="12"/>
    <x v="2"/>
    <n v="250000"/>
    <n v="1250000"/>
    <d v="2025-12-19T00:00:00"/>
    <x v="5"/>
    <x v="0"/>
    <x v="4"/>
  </r>
  <r>
    <n v="10035"/>
    <s v="Oki Gunawan"/>
    <s v="088022941318"/>
    <x v="7"/>
    <x v="1"/>
    <x v="1"/>
    <x v="4"/>
    <n v="99000"/>
    <n v="198000"/>
    <d v="2025-09-09T00:00:00"/>
    <x v="10"/>
    <x v="2"/>
    <x v="3"/>
  </r>
  <r>
    <n v="10369"/>
    <s v="Joko Wijaya"/>
    <s v="088695814671"/>
    <x v="1"/>
    <x v="2"/>
    <x v="3"/>
    <x v="7"/>
    <n v="250000"/>
    <n v="2500000"/>
    <d v="2025-09-07T00:00:00"/>
    <x v="10"/>
    <x v="3"/>
    <x v="0"/>
  </r>
  <r>
    <n v="10522"/>
    <s v="Bella Gunawan"/>
    <s v="088545897148"/>
    <x v="8"/>
    <x v="0"/>
    <x v="7"/>
    <x v="2"/>
    <n v="250000"/>
    <n v="1250000"/>
    <d v="2025-09-07T00:00:00"/>
    <x v="10"/>
    <x v="1"/>
    <x v="2"/>
  </r>
  <r>
    <n v="10540"/>
    <s v="Yani Halim"/>
    <s v="088908197400"/>
    <x v="9"/>
    <x v="3"/>
    <x v="8"/>
    <x v="7"/>
    <n v="45000"/>
    <n v="450000"/>
    <d v="2025-09-23T00:00:00"/>
    <x v="10"/>
    <x v="0"/>
    <x v="3"/>
  </r>
  <r>
    <n v="10169"/>
    <s v="Fajar Setiawan"/>
    <s v="088450544471"/>
    <x v="9"/>
    <x v="2"/>
    <x v="14"/>
    <x v="6"/>
    <n v="99000"/>
    <n v="99000"/>
    <d v="2025-06-19T00:00:00"/>
    <x v="2"/>
    <x v="3"/>
    <x v="0"/>
  </r>
  <r>
    <n v="10435"/>
    <s v="Andi Wijaya"/>
    <s v="088477596555"/>
    <x v="7"/>
    <x v="2"/>
    <x v="16"/>
    <x v="4"/>
    <n v="45000"/>
    <n v="90000"/>
    <d v="2025-09-25T00:00:00"/>
    <x v="10"/>
    <x v="2"/>
    <x v="1"/>
  </r>
  <r>
    <n v="10411"/>
    <s v="Hadi Hidayat"/>
    <s v="08663778052"/>
    <x v="3"/>
    <x v="2"/>
    <x v="3"/>
    <x v="0"/>
    <n v="120000"/>
    <n v="960000"/>
    <d v="2025-06-24T00:00:00"/>
    <x v="2"/>
    <x v="2"/>
    <x v="2"/>
  </r>
  <r>
    <n v="10056"/>
    <s v="Indah Wijaya"/>
    <s v="088839084700"/>
    <x v="1"/>
    <x v="3"/>
    <x v="24"/>
    <x v="0"/>
    <n v="120000"/>
    <n v="960000"/>
    <d v="2025-07-05T00:00:00"/>
    <x v="8"/>
    <x v="0"/>
    <x v="3"/>
  </r>
  <r>
    <n v="10328"/>
    <s v="Ahmad Santoso"/>
    <s v="088028457652"/>
    <x v="6"/>
    <x v="0"/>
    <x v="17"/>
    <x v="8"/>
    <n v="25000"/>
    <n v="150000"/>
    <d v="2025-10-01T00:00:00"/>
    <x v="9"/>
    <x v="0"/>
    <x v="2"/>
  </r>
  <r>
    <n v="10256"/>
    <s v="Umi Saputra"/>
    <s v="088521103924"/>
    <x v="9"/>
    <x v="2"/>
    <x v="14"/>
    <x v="7"/>
    <n v="35000"/>
    <n v="350000"/>
    <d v="2025-08-14T00:00:00"/>
    <x v="3"/>
    <x v="2"/>
    <x v="4"/>
  </r>
  <r>
    <n v="10500"/>
    <s v="Umi Siregar"/>
    <s v="088128196482"/>
    <x v="2"/>
    <x v="4"/>
    <x v="11"/>
    <x v="9"/>
    <n v="99000"/>
    <n v="297000"/>
    <d v="2025-06-12T00:00:00"/>
    <x v="2"/>
    <x v="0"/>
    <x v="4"/>
  </r>
  <r>
    <n v="10407"/>
    <s v="Kiki Halim"/>
    <s v="088373634669"/>
    <x v="8"/>
    <x v="1"/>
    <x v="12"/>
    <x v="2"/>
    <n v="199000"/>
    <n v="995000"/>
    <d v="2025-07-25T00:00:00"/>
    <x v="8"/>
    <x v="0"/>
    <x v="0"/>
  </r>
  <r>
    <n v="10123"/>
    <s v="Chandra Siregar"/>
    <s v="088265479356"/>
    <x v="8"/>
    <x v="1"/>
    <x v="15"/>
    <x v="9"/>
    <n v="50000"/>
    <n v="150000"/>
    <d v="2025-06-14T00:00:00"/>
    <x v="2"/>
    <x v="0"/>
    <x v="4"/>
  </r>
  <r>
    <n v="10227"/>
    <s v="Dewi Kusuma"/>
    <s v="088947284639"/>
    <x v="2"/>
    <x v="2"/>
    <x v="16"/>
    <x v="0"/>
    <n v="75000"/>
    <n v="600000"/>
    <d v="2025-11-14T00:00:00"/>
    <x v="4"/>
    <x v="1"/>
    <x v="1"/>
  </r>
  <r>
    <n v="10308"/>
    <s v="Budi Halim"/>
    <s v="08220781137"/>
    <x v="3"/>
    <x v="0"/>
    <x v="17"/>
    <x v="7"/>
    <n v="120000"/>
    <n v="1200000"/>
    <d v="2025-01-23T00:00:00"/>
    <x v="0"/>
    <x v="2"/>
    <x v="0"/>
  </r>
  <r>
    <n v="10458"/>
    <s v="Zaki Siregar"/>
    <s v=""/>
    <x v="4"/>
    <x v="2"/>
    <x v="16"/>
    <x v="0"/>
    <n v="199000"/>
    <n v="1592000"/>
    <d v="2025-09-07T00:00:00"/>
    <x v="10"/>
    <x v="2"/>
    <x v="2"/>
  </r>
  <r>
    <n v="10125"/>
    <s v="Oki Nasution"/>
    <s v="088113529096"/>
    <x v="1"/>
    <x v="2"/>
    <x v="14"/>
    <x v="1"/>
    <n v="15000"/>
    <n v="135000"/>
    <d v="2025-07-04T00:00:00"/>
    <x v="8"/>
    <x v="0"/>
    <x v="3"/>
  </r>
  <r>
    <n v="10235"/>
    <s v="Rian Kusuma"/>
    <s v="088228200557"/>
    <x v="4"/>
    <x v="4"/>
    <x v="5"/>
    <x v="3"/>
    <n v="50000"/>
    <n v="350000"/>
    <d v="2025-04-28T00:00:00"/>
    <x v="7"/>
    <x v="3"/>
    <x v="2"/>
  </r>
  <r>
    <n v="10236"/>
    <s v="Fitri Setiawan"/>
    <s v="088845783174"/>
    <x v="8"/>
    <x v="2"/>
    <x v="2"/>
    <x v="7"/>
    <n v="199000"/>
    <n v="1990000"/>
    <d v="2025-08-22T00:00:00"/>
    <x v="3"/>
    <x v="0"/>
    <x v="1"/>
  </r>
  <r>
    <n v="10295"/>
    <s v="Ahmad Hidayat"/>
    <s v=""/>
    <x v="6"/>
    <x v="4"/>
    <x v="10"/>
    <x v="1"/>
    <n v="15000"/>
    <n v="135000"/>
    <d v="2025-11-12T00:00:00"/>
    <x v="4"/>
    <x v="2"/>
    <x v="0"/>
  </r>
  <r>
    <n v="10105"/>
    <s v="Citra Wijaya"/>
    <s v="088265676618"/>
    <x v="6"/>
    <x v="3"/>
    <x v="8"/>
    <x v="6"/>
    <n v="25000"/>
    <n v="25000"/>
    <d v="2025-08-30T00:00:00"/>
    <x v="3"/>
    <x v="2"/>
    <x v="2"/>
  </r>
  <r>
    <n v="10015"/>
    <s v="Zaki Lestari"/>
    <s v="088016400524"/>
    <x v="4"/>
    <x v="4"/>
    <x v="10"/>
    <x v="5"/>
    <n v="250000"/>
    <n v="1000000"/>
    <d v="2025-11-21T00:00:00"/>
    <x v="4"/>
    <x v="1"/>
    <x v="3"/>
  </r>
  <r>
    <n v="10558"/>
    <s v="Eka Wijaya"/>
    <s v="08683415599"/>
    <x v="7"/>
    <x v="4"/>
    <x v="5"/>
    <x v="9"/>
    <n v="150000"/>
    <n v="450000"/>
    <d v="2025-09-29T00:00:00"/>
    <x v="10"/>
    <x v="4"/>
    <x v="1"/>
  </r>
  <r>
    <n v="10067"/>
    <s v="Vina Rahayu"/>
    <s v=""/>
    <x v="2"/>
    <x v="0"/>
    <x v="7"/>
    <x v="4"/>
    <n v="50000"/>
    <n v="100000"/>
    <d v="2025-08-25T00:00:00"/>
    <x v="3"/>
    <x v="4"/>
    <x v="0"/>
  </r>
  <r>
    <n v="10165"/>
    <s v="Made Santoso"/>
    <s v="08490211586"/>
    <x v="1"/>
    <x v="4"/>
    <x v="11"/>
    <x v="6"/>
    <n v="50000"/>
    <n v="50000"/>
    <d v="2025-08-14T00:00:00"/>
    <x v="3"/>
    <x v="4"/>
    <x v="2"/>
  </r>
  <r>
    <n v="10102"/>
    <s v="Indah Halim"/>
    <s v="08459332727"/>
    <x v="7"/>
    <x v="3"/>
    <x v="4"/>
    <x v="2"/>
    <n v="35000"/>
    <n v="175000"/>
    <d v="2025-07-27T00:00:00"/>
    <x v="8"/>
    <x v="0"/>
    <x v="2"/>
  </r>
  <r>
    <n v="10364"/>
    <s v="Fitri Nasution"/>
    <s v="088081866179"/>
    <x v="9"/>
    <x v="0"/>
    <x v="13"/>
    <x v="1"/>
    <n v="99000"/>
    <n v="891000"/>
    <d v="2025-01-06T00:00:00"/>
    <x v="0"/>
    <x v="0"/>
    <x v="0"/>
  </r>
  <r>
    <n v="10459"/>
    <s v="Kiki Rahayu"/>
    <s v="088188261702"/>
    <x v="5"/>
    <x v="0"/>
    <x v="13"/>
    <x v="3"/>
    <n v="75000"/>
    <n v="525000"/>
    <d v="2025-01-05T00:00:00"/>
    <x v="0"/>
    <x v="2"/>
    <x v="1"/>
  </r>
  <r>
    <n v="10089"/>
    <s v="Fajar Simatupang"/>
    <s v="088258815371"/>
    <x v="8"/>
    <x v="4"/>
    <x v="10"/>
    <x v="7"/>
    <n v="35000"/>
    <n v="350000"/>
    <d v="2025-06-10T00:00:00"/>
    <x v="2"/>
    <x v="1"/>
    <x v="2"/>
  </r>
  <r>
    <n v="10122"/>
    <s v="Eka Kusuma"/>
    <s v="088799371240"/>
    <x v="1"/>
    <x v="1"/>
    <x v="22"/>
    <x v="0"/>
    <n v="25000"/>
    <n v="200000"/>
    <d v="2025-04-07T00:00:00"/>
    <x v="7"/>
    <x v="1"/>
    <x v="4"/>
  </r>
  <r>
    <n v="10370"/>
    <s v="Vina Halim"/>
    <s v="088959724665"/>
    <x v="1"/>
    <x v="4"/>
    <x v="10"/>
    <x v="5"/>
    <n v="120000"/>
    <n v="480000"/>
    <d v="2025-06-26T00:00:00"/>
    <x v="2"/>
    <x v="4"/>
    <x v="4"/>
  </r>
  <r>
    <n v="10234"/>
    <s v="Eka Nugroho"/>
    <s v=""/>
    <x v="5"/>
    <x v="4"/>
    <x v="11"/>
    <x v="4"/>
    <n v="25000"/>
    <n v="50000"/>
    <d v="2025-02-02T00:00:00"/>
    <x v="6"/>
    <x v="4"/>
    <x v="3"/>
  </r>
  <r>
    <n v="10082"/>
    <s v="Eka Simatupang"/>
    <s v="088755719285"/>
    <x v="9"/>
    <x v="4"/>
    <x v="10"/>
    <x v="8"/>
    <n v="99000"/>
    <n v="594000"/>
    <d v="2025-10-18T00:00:00"/>
    <x v="9"/>
    <x v="2"/>
    <x v="3"/>
  </r>
  <r>
    <n v="10098"/>
    <s v="Yani Setiawan"/>
    <s v="088016571208"/>
    <x v="5"/>
    <x v="2"/>
    <x v="2"/>
    <x v="5"/>
    <n v="15000"/>
    <n v="60000"/>
    <d v="2025-12-09T00:00:00"/>
    <x v="5"/>
    <x v="0"/>
    <x v="4"/>
  </r>
  <r>
    <n v="10442"/>
    <s v="Chandra Nugroho"/>
    <s v="088814973746"/>
    <x v="8"/>
    <x v="2"/>
    <x v="20"/>
    <x v="9"/>
    <n v="250000"/>
    <n v="750000"/>
    <d v="2025-12-26T00:00:00"/>
    <x v="5"/>
    <x v="2"/>
    <x v="3"/>
  </r>
  <r>
    <n v="10560"/>
    <s v="Oki Santoso"/>
    <s v="088898645652"/>
    <x v="2"/>
    <x v="3"/>
    <x v="19"/>
    <x v="2"/>
    <n v="120000"/>
    <n v="600000"/>
    <d v="2025-06-24T00:00:00"/>
    <x v="2"/>
    <x v="2"/>
    <x v="3"/>
  </r>
  <r>
    <n v="10282"/>
    <s v="Joko Halim"/>
    <s v="088876963938"/>
    <x v="2"/>
    <x v="2"/>
    <x v="16"/>
    <x v="3"/>
    <n v="25000"/>
    <n v="175000"/>
    <d v="2025-06-16T00:00:00"/>
    <x v="2"/>
    <x v="0"/>
    <x v="0"/>
  </r>
  <r>
    <n v="10199"/>
    <s v="Lina Kusuma"/>
    <s v="08153355543"/>
    <x v="0"/>
    <x v="4"/>
    <x v="23"/>
    <x v="4"/>
    <n v="150000"/>
    <n v="300000"/>
    <d v="2025-03-23T00:00:00"/>
    <x v="11"/>
    <x v="4"/>
    <x v="3"/>
  </r>
  <r>
    <n v="10404"/>
    <s v="Fajar Nugroho"/>
    <s v="088026153473"/>
    <x v="9"/>
    <x v="2"/>
    <x v="2"/>
    <x v="9"/>
    <n v="45000"/>
    <n v="135000"/>
    <d v="2025-12-01T00:00:00"/>
    <x v="5"/>
    <x v="3"/>
    <x v="2"/>
  </r>
  <r>
    <n v="10452"/>
    <s v="Dewi Marpaung"/>
    <s v=""/>
    <x v="6"/>
    <x v="3"/>
    <x v="18"/>
    <x v="8"/>
    <n v="50000"/>
    <n v="300000"/>
    <d v="2025-03-16T00:00:00"/>
    <x v="11"/>
    <x v="3"/>
    <x v="2"/>
  </r>
  <r>
    <n v="10307"/>
    <s v="Nita Saputra"/>
    <s v="088340312772"/>
    <x v="3"/>
    <x v="3"/>
    <x v="8"/>
    <x v="4"/>
    <n v="199000"/>
    <n v="398000"/>
    <d v="2025-05-07T00:00:00"/>
    <x v="1"/>
    <x v="0"/>
    <x v="3"/>
  </r>
  <r>
    <n v="10380"/>
    <s v="Citra Halim"/>
    <s v="08762282772"/>
    <x v="1"/>
    <x v="2"/>
    <x v="3"/>
    <x v="3"/>
    <n v="50000"/>
    <n v="350000"/>
    <d v="2025-10-27T00:00:00"/>
    <x v="9"/>
    <x v="4"/>
    <x v="1"/>
  </r>
  <r>
    <n v="10466"/>
    <s v="Lina Halim"/>
    <s v="088291093371"/>
    <x v="0"/>
    <x v="0"/>
    <x v="13"/>
    <x v="2"/>
    <n v="45000"/>
    <n v="225000"/>
    <d v="2025-10-27T00:00:00"/>
    <x v="9"/>
    <x v="4"/>
    <x v="0"/>
  </r>
  <r>
    <n v="10189"/>
    <s v="Kiki Nugroho"/>
    <s v=""/>
    <x v="4"/>
    <x v="2"/>
    <x v="2"/>
    <x v="1"/>
    <n v="250000"/>
    <n v="2250000"/>
    <d v="2025-07-13T00:00:00"/>
    <x v="8"/>
    <x v="4"/>
    <x v="4"/>
  </r>
  <r>
    <n v="10350"/>
    <s v="Andi Siregar"/>
    <s v="088417765612"/>
    <x v="4"/>
    <x v="4"/>
    <x v="10"/>
    <x v="5"/>
    <n v="35000"/>
    <n v="140000"/>
    <d v="2025-08-13T00:00:00"/>
    <x v="3"/>
    <x v="1"/>
    <x v="1"/>
  </r>
  <r>
    <n v="10241"/>
    <s v="Chandra Saputra"/>
    <s v="088376452088"/>
    <x v="3"/>
    <x v="1"/>
    <x v="9"/>
    <x v="6"/>
    <n v="45000"/>
    <n v="45000"/>
    <d v="2025-08-24T00:00:00"/>
    <x v="3"/>
    <x v="2"/>
    <x v="3"/>
  </r>
  <r>
    <n v="10320"/>
    <s v="Wawan Gunawan"/>
    <s v="088727520885"/>
    <x v="9"/>
    <x v="1"/>
    <x v="15"/>
    <x v="9"/>
    <n v="150000"/>
    <n v="450000"/>
    <d v="2025-06-04T00:00:00"/>
    <x v="2"/>
    <x v="2"/>
    <x v="0"/>
  </r>
  <r>
    <n v="10484"/>
    <s v="Lina Gunawan"/>
    <s v="08438303419"/>
    <x v="3"/>
    <x v="4"/>
    <x v="23"/>
    <x v="4"/>
    <n v="25000"/>
    <n v="50000"/>
    <d v="2025-04-19T00:00:00"/>
    <x v="7"/>
    <x v="0"/>
    <x v="0"/>
  </r>
  <r>
    <n v="10577"/>
    <s v="Rian Pratama"/>
    <s v="08866041644"/>
    <x v="3"/>
    <x v="3"/>
    <x v="24"/>
    <x v="3"/>
    <n v="120000"/>
    <n v="840000"/>
    <d v="2025-03-29T00:00:00"/>
    <x v="11"/>
    <x v="0"/>
    <x v="1"/>
  </r>
  <r>
    <n v="10127"/>
    <s v="Fitri Kusuma"/>
    <s v="088775140105"/>
    <x v="9"/>
    <x v="0"/>
    <x v="17"/>
    <x v="0"/>
    <n v="45000"/>
    <n v="360000"/>
    <d v="2025-09-24T00:00:00"/>
    <x v="10"/>
    <x v="4"/>
    <x v="2"/>
  </r>
  <r>
    <n v="10474"/>
    <s v="Ahmad Kusuma"/>
    <s v="088797245723"/>
    <x v="9"/>
    <x v="2"/>
    <x v="16"/>
    <x v="6"/>
    <n v="25000"/>
    <n v="25000"/>
    <d v="2025-10-05T00:00:00"/>
    <x v="9"/>
    <x v="1"/>
    <x v="0"/>
  </r>
  <r>
    <n v="10166"/>
    <s v="Sari Wijaya"/>
    <s v="088089899217"/>
    <x v="0"/>
    <x v="2"/>
    <x v="14"/>
    <x v="7"/>
    <n v="45000"/>
    <n v="450000"/>
    <d v="2025-09-01T00:00:00"/>
    <x v="10"/>
    <x v="1"/>
    <x v="0"/>
  </r>
  <r>
    <n v="10011"/>
    <s v="Budi Saputra"/>
    <s v="088647468723"/>
    <x v="3"/>
    <x v="1"/>
    <x v="12"/>
    <x v="0"/>
    <n v="45000"/>
    <n v="360000"/>
    <d v="2025-07-25T00:00:00"/>
    <x v="8"/>
    <x v="2"/>
    <x v="4"/>
  </r>
  <r>
    <n v="10209"/>
    <s v="Lina Siregar"/>
    <s v="08039282722"/>
    <x v="2"/>
    <x v="0"/>
    <x v="13"/>
    <x v="0"/>
    <n v="150000"/>
    <n v="1200000"/>
    <d v="2025-09-19T00:00:00"/>
    <x v="10"/>
    <x v="2"/>
    <x v="1"/>
  </r>
  <r>
    <n v="10374"/>
    <s v="Kiki Lestari"/>
    <s v="088456532863"/>
    <x v="3"/>
    <x v="1"/>
    <x v="1"/>
    <x v="5"/>
    <n v="120000"/>
    <n v="480000"/>
    <d v="2025-06-24T00:00:00"/>
    <x v="2"/>
    <x v="1"/>
    <x v="3"/>
  </r>
  <r>
    <n v="10292"/>
    <s v="Fitri Lestari"/>
    <s v="088292766372"/>
    <x v="6"/>
    <x v="0"/>
    <x v="13"/>
    <x v="0"/>
    <n v="35000"/>
    <n v="280000"/>
    <d v="2025-09-28T00:00:00"/>
    <x v="10"/>
    <x v="2"/>
    <x v="2"/>
  </r>
  <r>
    <n v="10306"/>
    <s v="Fajar Kusuma"/>
    <s v="088329092791"/>
    <x v="4"/>
    <x v="1"/>
    <x v="9"/>
    <x v="5"/>
    <n v="35000"/>
    <n v="140000"/>
    <d v="2025-11-24T00:00:00"/>
    <x v="4"/>
    <x v="1"/>
    <x v="3"/>
  </r>
  <r>
    <n v="10332"/>
    <s v="Lina Santoso"/>
    <s v="088342801387"/>
    <x v="2"/>
    <x v="2"/>
    <x v="3"/>
    <x v="4"/>
    <n v="25000"/>
    <n v="50000"/>
    <d v="2025-10-24T00:00:00"/>
    <x v="9"/>
    <x v="2"/>
    <x v="3"/>
  </r>
  <r>
    <n v="10257"/>
    <s v="Yani Pratama"/>
    <s v="088487920698"/>
    <x v="8"/>
    <x v="3"/>
    <x v="18"/>
    <x v="5"/>
    <n v="150000"/>
    <n v="600000"/>
    <d v="2025-04-19T00:00:00"/>
    <x v="7"/>
    <x v="3"/>
    <x v="3"/>
  </r>
  <r>
    <n v="10317"/>
    <s v="Indah Pratama"/>
    <s v="088670431038"/>
    <x v="8"/>
    <x v="4"/>
    <x v="23"/>
    <x v="6"/>
    <n v="50000"/>
    <n v="50000"/>
    <d v="2025-08-02T00:00:00"/>
    <x v="3"/>
    <x v="0"/>
    <x v="4"/>
  </r>
  <r>
    <n v="10312"/>
    <s v="Eka Saputra"/>
    <s v="088177318063"/>
    <x v="7"/>
    <x v="1"/>
    <x v="15"/>
    <x v="6"/>
    <n v="99000"/>
    <n v="99000"/>
    <d v="2025-09-29T00:00:00"/>
    <x v="10"/>
    <x v="4"/>
    <x v="1"/>
  </r>
  <r>
    <n v="10070"/>
    <s v="Wawan Siregar"/>
    <s v="08629148652"/>
    <x v="4"/>
    <x v="2"/>
    <x v="2"/>
    <x v="8"/>
    <n v="25000"/>
    <n v="150000"/>
    <d v="2025-10-26T00:00:00"/>
    <x v="9"/>
    <x v="3"/>
    <x v="2"/>
  </r>
  <r>
    <n v="10316"/>
    <s v="Lina Simatupang"/>
    <s v="088137116241"/>
    <x v="0"/>
    <x v="3"/>
    <x v="4"/>
    <x v="1"/>
    <n v="250000"/>
    <n v="2250000"/>
    <d v="2025-09-30T00:00:00"/>
    <x v="10"/>
    <x v="1"/>
    <x v="1"/>
  </r>
  <r>
    <n v="10014"/>
    <s v="Sari Hidayat"/>
    <s v="088498084124"/>
    <x v="4"/>
    <x v="0"/>
    <x v="0"/>
    <x v="5"/>
    <n v="75000"/>
    <n v="300000"/>
    <d v="2025-05-26T00:00:00"/>
    <x v="1"/>
    <x v="3"/>
    <x v="1"/>
  </r>
  <r>
    <n v="10514"/>
    <s v="Rian Nugroho"/>
    <s v="088158331170"/>
    <x v="8"/>
    <x v="1"/>
    <x v="22"/>
    <x v="8"/>
    <n v="120000"/>
    <n v="720000"/>
    <d v="2025-04-26T00:00:00"/>
    <x v="7"/>
    <x v="2"/>
    <x v="2"/>
  </r>
  <r>
    <n v="10210"/>
    <s v="Wawan Lestari"/>
    <s v=""/>
    <x v="6"/>
    <x v="4"/>
    <x v="11"/>
    <x v="5"/>
    <n v="25000"/>
    <n v="100000"/>
    <d v="2025-05-16T00:00:00"/>
    <x v="1"/>
    <x v="1"/>
    <x v="4"/>
  </r>
  <r>
    <n v="10483"/>
    <s v="Eka Hidayat"/>
    <s v="088662056341"/>
    <x v="2"/>
    <x v="4"/>
    <x v="11"/>
    <x v="9"/>
    <n v="150000"/>
    <n v="450000"/>
    <d v="2025-06-11T00:00:00"/>
    <x v="2"/>
    <x v="2"/>
    <x v="1"/>
  </r>
  <r>
    <n v="10214"/>
    <s v="Erik Lestari"/>
    <s v="088379772369"/>
    <x v="9"/>
    <x v="4"/>
    <x v="23"/>
    <x v="3"/>
    <n v="199000"/>
    <n v="1393000"/>
    <d v="2025-10-16T00:00:00"/>
    <x v="9"/>
    <x v="2"/>
    <x v="2"/>
  </r>
  <r>
    <n v="10297"/>
    <s v="Wawan Hidayat"/>
    <s v="088244717465"/>
    <x v="5"/>
    <x v="3"/>
    <x v="24"/>
    <x v="7"/>
    <n v="35000"/>
    <n v="350000"/>
    <d v="2025-07-12T00:00:00"/>
    <x v="8"/>
    <x v="0"/>
    <x v="4"/>
  </r>
  <r>
    <n v="10464"/>
    <s v="Dian Wijaya"/>
    <s v="088041454563"/>
    <x v="1"/>
    <x v="0"/>
    <x v="13"/>
    <x v="5"/>
    <n v="75000"/>
    <n v="300000"/>
    <d v="2025-07-08T00:00:00"/>
    <x v="8"/>
    <x v="4"/>
    <x v="0"/>
  </r>
  <r>
    <n v="10349"/>
    <s v="Indah Lestari"/>
    <s v="088348645183"/>
    <x v="8"/>
    <x v="0"/>
    <x v="17"/>
    <x v="6"/>
    <n v="250000"/>
    <n v="250000"/>
    <d v="2025-11-07T00:00:00"/>
    <x v="4"/>
    <x v="2"/>
    <x v="0"/>
  </r>
  <r>
    <n v="10088"/>
    <s v="Vina Saputra"/>
    <s v=""/>
    <x v="0"/>
    <x v="0"/>
    <x v="21"/>
    <x v="5"/>
    <n v="250000"/>
    <n v="1000000"/>
    <d v="2025-07-27T00:00:00"/>
    <x v="8"/>
    <x v="1"/>
    <x v="1"/>
  </r>
  <r>
    <n v="10335"/>
    <s v="Oki Kusuma"/>
    <s v="088961367499"/>
    <x v="9"/>
    <x v="1"/>
    <x v="15"/>
    <x v="4"/>
    <n v="35000"/>
    <n v="70000"/>
    <d v="2025-02-03T00:00:00"/>
    <x v="6"/>
    <x v="1"/>
    <x v="4"/>
  </r>
  <r>
    <n v="10508"/>
    <s v="Eka Gunawan"/>
    <s v="08649383184"/>
    <x v="7"/>
    <x v="3"/>
    <x v="18"/>
    <x v="5"/>
    <n v="120000"/>
    <n v="480000"/>
    <d v="2025-10-18T00:00:00"/>
    <x v="9"/>
    <x v="1"/>
    <x v="4"/>
  </r>
  <r>
    <n v="10390"/>
    <s v="Indah Setiawan"/>
    <s v="08416128463"/>
    <x v="6"/>
    <x v="4"/>
    <x v="23"/>
    <x v="1"/>
    <n v="50000"/>
    <n v="450000"/>
    <d v="2025-01-24T00:00:00"/>
    <x v="0"/>
    <x v="3"/>
    <x v="3"/>
  </r>
  <r>
    <n v="10171"/>
    <s v="Erik Saputra"/>
    <s v="088786103579"/>
    <x v="3"/>
    <x v="3"/>
    <x v="19"/>
    <x v="6"/>
    <n v="120000"/>
    <n v="120000"/>
    <d v="2025-01-26T00:00:00"/>
    <x v="0"/>
    <x v="1"/>
    <x v="4"/>
  </r>
  <r>
    <n v="10594"/>
    <s v="Joko Wijaya"/>
    <s v="088249839225"/>
    <x v="0"/>
    <x v="1"/>
    <x v="12"/>
    <x v="2"/>
    <n v="199000"/>
    <n v="995000"/>
    <d v="2025-07-25T00:00:00"/>
    <x v="8"/>
    <x v="0"/>
    <x v="0"/>
  </r>
  <r>
    <n v="10272"/>
    <s v="Fitri Rahayu"/>
    <s v="088877293430"/>
    <x v="2"/>
    <x v="0"/>
    <x v="7"/>
    <x v="7"/>
    <n v="199000"/>
    <n v="1990000"/>
    <d v="2025-01-07T00:00:00"/>
    <x v="0"/>
    <x v="3"/>
    <x v="3"/>
  </r>
  <r>
    <n v="10001"/>
    <s v="Hadi Simatupang"/>
    <s v="088615594078"/>
    <x v="4"/>
    <x v="4"/>
    <x v="11"/>
    <x v="8"/>
    <n v="50000"/>
    <n v="300000"/>
    <d v="2025-03-21T00:00:00"/>
    <x v="11"/>
    <x v="3"/>
    <x v="2"/>
  </r>
  <r>
    <n v="10147"/>
    <s v="Made Lestari"/>
    <s v="088951802380"/>
    <x v="7"/>
    <x v="1"/>
    <x v="9"/>
    <x v="8"/>
    <n v="45000"/>
    <n v="270000"/>
    <d v="2025-02-08T00:00:00"/>
    <x v="6"/>
    <x v="1"/>
    <x v="2"/>
  </r>
  <r>
    <n v="10204"/>
    <s v="Joko Lestari"/>
    <s v="088881435368"/>
    <x v="6"/>
    <x v="2"/>
    <x v="3"/>
    <x v="9"/>
    <n v="25000"/>
    <n v="75000"/>
    <d v="2025-01-22T00:00:00"/>
    <x v="0"/>
    <x v="2"/>
    <x v="3"/>
  </r>
  <r>
    <n v="10090"/>
    <s v="Hadi Lestari"/>
    <s v="088327877470"/>
    <x v="7"/>
    <x v="1"/>
    <x v="15"/>
    <x v="3"/>
    <n v="45000"/>
    <n v="315000"/>
    <d v="2025-03-23T00:00:00"/>
    <x v="11"/>
    <x v="1"/>
    <x v="3"/>
  </r>
  <r>
    <n v="10557"/>
    <s v="Indah Rahayu"/>
    <s v="088327021648"/>
    <x v="6"/>
    <x v="3"/>
    <x v="4"/>
    <x v="3"/>
    <n v="150000"/>
    <n v="1050000"/>
    <d v="2025-03-17T00:00:00"/>
    <x v="11"/>
    <x v="0"/>
    <x v="1"/>
  </r>
  <r>
    <n v="10512"/>
    <s v="Yani Simatupang"/>
    <s v="088563213580"/>
    <x v="5"/>
    <x v="2"/>
    <x v="16"/>
    <x v="6"/>
    <n v="45000"/>
    <n v="45000"/>
    <d v="2025-01-25T00:00:00"/>
    <x v="0"/>
    <x v="2"/>
    <x v="4"/>
  </r>
  <r>
    <n v="10566"/>
    <s v="Yani Setiawan"/>
    <s v="088477695874"/>
    <x v="1"/>
    <x v="2"/>
    <x v="2"/>
    <x v="8"/>
    <n v="120000"/>
    <n v="720000"/>
    <d v="2025-09-29T00:00:00"/>
    <x v="10"/>
    <x v="3"/>
    <x v="2"/>
  </r>
  <r>
    <n v="10422"/>
    <s v="Sari Hidayat"/>
    <s v="088065063731"/>
    <x v="3"/>
    <x v="1"/>
    <x v="12"/>
    <x v="4"/>
    <n v="45000"/>
    <n v="90000"/>
    <d v="2025-04-20T00:00:00"/>
    <x v="7"/>
    <x v="2"/>
    <x v="2"/>
  </r>
  <r>
    <n v="10146"/>
    <s v="Fajar Setiawan"/>
    <s v=""/>
    <x v="2"/>
    <x v="3"/>
    <x v="19"/>
    <x v="1"/>
    <n v="15000"/>
    <n v="135000"/>
    <d v="2025-01-23T00:00:00"/>
    <x v="0"/>
    <x v="2"/>
    <x v="4"/>
  </r>
  <r>
    <n v="10237"/>
    <s v="Indah Lestari"/>
    <s v="08774064930"/>
    <x v="7"/>
    <x v="2"/>
    <x v="2"/>
    <x v="8"/>
    <n v="50000"/>
    <n v="300000"/>
    <d v="2025-08-29T00:00:00"/>
    <x v="3"/>
    <x v="0"/>
    <x v="0"/>
  </r>
  <r>
    <n v="10533"/>
    <s v="Made Siregar"/>
    <s v="088940970527"/>
    <x v="8"/>
    <x v="1"/>
    <x v="9"/>
    <x v="6"/>
    <n v="50000"/>
    <n v="50000"/>
    <d v="2025-08-23T00:00:00"/>
    <x v="3"/>
    <x v="2"/>
    <x v="3"/>
  </r>
  <r>
    <n v="10253"/>
    <s v="Fitri Gunawan"/>
    <s v="088058925832"/>
    <x v="1"/>
    <x v="3"/>
    <x v="19"/>
    <x v="7"/>
    <n v="15000"/>
    <n v="150000"/>
    <d v="2025-11-21T00:00:00"/>
    <x v="4"/>
    <x v="4"/>
    <x v="0"/>
  </r>
  <r>
    <n v="10413"/>
    <s v="Made Hidayat"/>
    <s v="088412182097"/>
    <x v="5"/>
    <x v="1"/>
    <x v="9"/>
    <x v="0"/>
    <n v="25000"/>
    <n v="200000"/>
    <d v="2025-06-18T00:00:00"/>
    <x v="2"/>
    <x v="0"/>
    <x v="1"/>
  </r>
  <r>
    <n v="10586"/>
    <s v="Fajar Nasution"/>
    <s v="08107051843"/>
    <x v="5"/>
    <x v="0"/>
    <x v="0"/>
    <x v="7"/>
    <n v="35000"/>
    <n v="350000"/>
    <d v="2025-12-28T00:00:00"/>
    <x v="5"/>
    <x v="3"/>
    <x v="4"/>
  </r>
  <r>
    <n v="10401"/>
    <s v="Umi Gunawan"/>
    <s v="088653331537"/>
    <x v="6"/>
    <x v="2"/>
    <x v="3"/>
    <x v="9"/>
    <n v="15000"/>
    <n v="45000"/>
    <d v="2025-05-02T00:00:00"/>
    <x v="1"/>
    <x v="0"/>
    <x v="3"/>
  </r>
  <r>
    <n v="10589"/>
    <s v="Fitri Simatupang"/>
    <s v="088357134324"/>
    <x v="5"/>
    <x v="4"/>
    <x v="5"/>
    <x v="9"/>
    <n v="75000"/>
    <n v="225000"/>
    <d v="2025-10-30T00:00:00"/>
    <x v="9"/>
    <x v="2"/>
    <x v="4"/>
  </r>
  <r>
    <n v="10108"/>
    <s v="Kiki Gunawan"/>
    <s v="088268705685"/>
    <x v="4"/>
    <x v="2"/>
    <x v="2"/>
    <x v="3"/>
    <n v="50000"/>
    <n v="350000"/>
    <d v="2025-05-21T00:00:00"/>
    <x v="1"/>
    <x v="2"/>
    <x v="3"/>
  </r>
  <r>
    <n v="10371"/>
    <s v="Umi Hidayat"/>
    <s v="088674338005"/>
    <x v="5"/>
    <x v="1"/>
    <x v="9"/>
    <x v="9"/>
    <n v="45000"/>
    <n v="135000"/>
    <d v="2025-03-22T00:00:00"/>
    <x v="11"/>
    <x v="0"/>
    <x v="1"/>
  </r>
  <r>
    <n v="10570"/>
    <s v="Bella Siregar"/>
    <s v="088286342556"/>
    <x v="6"/>
    <x v="2"/>
    <x v="16"/>
    <x v="6"/>
    <n v="150000"/>
    <n v="150000"/>
    <d v="2025-04-18T00:00:00"/>
    <x v="7"/>
    <x v="1"/>
    <x v="3"/>
  </r>
  <r>
    <n v="10285"/>
    <s v="Oki Hidayat"/>
    <s v="08862405800"/>
    <x v="6"/>
    <x v="2"/>
    <x v="20"/>
    <x v="3"/>
    <n v="75000"/>
    <n v="525000"/>
    <d v="2025-02-15T00:00:00"/>
    <x v="6"/>
    <x v="0"/>
    <x v="0"/>
  </r>
  <r>
    <n v="10428"/>
    <s v="Oki Marpaung"/>
    <s v="088498282467"/>
    <x v="2"/>
    <x v="1"/>
    <x v="9"/>
    <x v="0"/>
    <n v="15000"/>
    <n v="120000"/>
    <d v="2025-07-15T00:00:00"/>
    <x v="8"/>
    <x v="4"/>
    <x v="0"/>
  </r>
  <r>
    <n v="10222"/>
    <s v="Vina Nasution"/>
    <s v="088920530214"/>
    <x v="7"/>
    <x v="2"/>
    <x v="20"/>
    <x v="5"/>
    <n v="15000"/>
    <n v="60000"/>
    <d v="2025-03-11T00:00:00"/>
    <x v="11"/>
    <x v="0"/>
    <x v="3"/>
  </r>
  <r>
    <n v="10418"/>
    <s v="Budi Simatupang"/>
    <s v=""/>
    <x v="5"/>
    <x v="1"/>
    <x v="12"/>
    <x v="8"/>
    <n v="99000"/>
    <n v="594000"/>
    <d v="2025-10-04T00:00:00"/>
    <x v="9"/>
    <x v="4"/>
    <x v="0"/>
  </r>
  <r>
    <n v="10378"/>
    <s v="Zaki Wijaya"/>
    <s v="088075399893"/>
    <x v="4"/>
    <x v="2"/>
    <x v="20"/>
    <x v="4"/>
    <n v="15000"/>
    <n v="30000"/>
    <d v="2025-11-30T00:00:00"/>
    <x v="4"/>
    <x v="2"/>
    <x v="1"/>
  </r>
  <r>
    <n v="10162"/>
    <s v="Vina Nugroho"/>
    <s v="088621815997"/>
    <x v="8"/>
    <x v="3"/>
    <x v="18"/>
    <x v="6"/>
    <n v="75000"/>
    <n v="75000"/>
    <d v="2025-05-14T00:00:00"/>
    <x v="1"/>
    <x v="2"/>
    <x v="0"/>
  </r>
  <r>
    <n v="10182"/>
    <s v="Ahmad Wijaya"/>
    <s v="088472304618"/>
    <x v="7"/>
    <x v="3"/>
    <x v="24"/>
    <x v="6"/>
    <n v="25000"/>
    <n v="25000"/>
    <d v="2025-08-02T00:00:00"/>
    <x v="3"/>
    <x v="4"/>
    <x v="1"/>
  </r>
  <r>
    <n v="10296"/>
    <s v="Rian Pratama"/>
    <s v=""/>
    <x v="6"/>
    <x v="0"/>
    <x v="17"/>
    <x v="5"/>
    <n v="15000"/>
    <n v="60000"/>
    <d v="2025-01-13T00:00:00"/>
    <x v="0"/>
    <x v="0"/>
    <x v="0"/>
  </r>
  <r>
    <n v="10113"/>
    <s v="Zaki Lestari"/>
    <s v="088937854777"/>
    <x v="4"/>
    <x v="2"/>
    <x v="3"/>
    <x v="3"/>
    <n v="50000"/>
    <n v="350000"/>
    <d v="2025-03-20T00:00:00"/>
    <x v="11"/>
    <x v="3"/>
    <x v="2"/>
  </r>
  <r>
    <n v="10216"/>
    <s v="Putri Wijaya"/>
    <s v="08508637659"/>
    <x v="0"/>
    <x v="3"/>
    <x v="4"/>
    <x v="9"/>
    <n v="199000"/>
    <n v="597000"/>
    <d v="2025-04-10T00:00:00"/>
    <x v="7"/>
    <x v="2"/>
    <x v="1"/>
  </r>
  <r>
    <n v="10223"/>
    <s v="Wawan Siregar"/>
    <s v="088554393769"/>
    <x v="2"/>
    <x v="2"/>
    <x v="16"/>
    <x v="4"/>
    <n v="25000"/>
    <n v="50000"/>
    <d v="2025-09-10T00:00:00"/>
    <x v="10"/>
    <x v="1"/>
    <x v="3"/>
  </r>
  <r>
    <n v="10405"/>
    <s v="Wawan Santoso"/>
    <s v="08559630993"/>
    <x v="2"/>
    <x v="3"/>
    <x v="24"/>
    <x v="9"/>
    <n v="35000"/>
    <n v="105000"/>
    <d v="2025-08-04T00:00:00"/>
    <x v="3"/>
    <x v="3"/>
    <x v="3"/>
  </r>
  <r>
    <n v="10588"/>
    <s v="Eka Setiawan"/>
    <s v="088044851579"/>
    <x v="9"/>
    <x v="3"/>
    <x v="18"/>
    <x v="7"/>
    <n v="45000"/>
    <n v="450000"/>
    <d v="2025-12-19T00:00:00"/>
    <x v="5"/>
    <x v="0"/>
    <x v="1"/>
  </r>
  <r>
    <n v="10126"/>
    <s v="Dewi Saputra"/>
    <s v="088679825071"/>
    <x v="4"/>
    <x v="2"/>
    <x v="3"/>
    <x v="1"/>
    <n v="199000"/>
    <n v="1791000"/>
    <d v="2025-12-19T00:00:00"/>
    <x v="5"/>
    <x v="0"/>
    <x v="4"/>
  </r>
  <r>
    <n v="10387"/>
    <s v="Wawan Santoso"/>
    <s v="088546103399"/>
    <x v="2"/>
    <x v="4"/>
    <x v="5"/>
    <x v="6"/>
    <n v="50000"/>
    <n v="50000"/>
    <d v="2025-07-19T00:00:00"/>
    <x v="8"/>
    <x v="2"/>
    <x v="2"/>
  </r>
  <r>
    <n v="10134"/>
    <s v="Bella Halim"/>
    <s v="088982544948"/>
    <x v="1"/>
    <x v="2"/>
    <x v="2"/>
    <x v="5"/>
    <n v="45000"/>
    <n v="180000"/>
    <d v="2025-01-31T00:00:00"/>
    <x v="0"/>
    <x v="0"/>
    <x v="2"/>
  </r>
  <r>
    <n v="10384"/>
    <s v="Wawan Marpaung"/>
    <s v="08094818139"/>
    <x v="3"/>
    <x v="0"/>
    <x v="7"/>
    <x v="6"/>
    <n v="250000"/>
    <n v="250000"/>
    <d v="2025-08-15T00:00:00"/>
    <x v="3"/>
    <x v="1"/>
    <x v="0"/>
  </r>
  <r>
    <n v="10240"/>
    <s v="Eka Saputra"/>
    <s v="088204618723"/>
    <x v="3"/>
    <x v="1"/>
    <x v="22"/>
    <x v="0"/>
    <n v="75000"/>
    <n v="600000"/>
    <d v="2025-08-26T00:00:00"/>
    <x v="3"/>
    <x v="2"/>
    <x v="2"/>
  </r>
  <r>
    <n v="10502"/>
    <s v="Zaki Siregar"/>
    <s v="088911244211"/>
    <x v="7"/>
    <x v="3"/>
    <x v="19"/>
    <x v="6"/>
    <n v="250000"/>
    <n v="250000"/>
    <d v="2025-10-24T00:00:00"/>
    <x v="9"/>
    <x v="2"/>
    <x v="0"/>
  </r>
  <r>
    <n v="10290"/>
    <s v="Zaki Gunawan"/>
    <s v=""/>
    <x v="6"/>
    <x v="0"/>
    <x v="13"/>
    <x v="6"/>
    <n v="199000"/>
    <n v="199000"/>
    <d v="2025-06-05T00:00:00"/>
    <x v="2"/>
    <x v="0"/>
    <x v="2"/>
  </r>
  <r>
    <n v="10023"/>
    <s v="Fajar Simatupang"/>
    <s v="088798687277"/>
    <x v="0"/>
    <x v="3"/>
    <x v="4"/>
    <x v="9"/>
    <n v="120000"/>
    <n v="360000"/>
    <d v="2025-12-08T00:00:00"/>
    <x v="5"/>
    <x v="0"/>
    <x v="3"/>
  </r>
  <r>
    <n v="10425"/>
    <s v="Joko Hidayat"/>
    <s v="088086403553"/>
    <x v="1"/>
    <x v="3"/>
    <x v="19"/>
    <x v="7"/>
    <n v="120000"/>
    <n v="1200000"/>
    <d v="2025-06-18T00:00:00"/>
    <x v="2"/>
    <x v="3"/>
    <x v="2"/>
  </r>
  <r>
    <n v="10360"/>
    <s v="Fitri Kusuma"/>
    <s v="08152017774"/>
    <x v="8"/>
    <x v="3"/>
    <x v="18"/>
    <x v="6"/>
    <n v="50000"/>
    <n v="50000"/>
    <d v="2025-12-15T00:00:00"/>
    <x v="5"/>
    <x v="2"/>
    <x v="1"/>
  </r>
  <r>
    <n v="10170"/>
    <s v="Joko Simatupang"/>
    <s v="088850821486"/>
    <x v="4"/>
    <x v="1"/>
    <x v="15"/>
    <x v="4"/>
    <n v="45000"/>
    <n v="90000"/>
    <d v="2025-08-15T00:00:00"/>
    <x v="3"/>
    <x v="3"/>
    <x v="1"/>
  </r>
  <r>
    <n v="10159"/>
    <s v="Lina Siregar"/>
    <s v="088895392644"/>
    <x v="5"/>
    <x v="0"/>
    <x v="17"/>
    <x v="9"/>
    <n v="35000"/>
    <n v="105000"/>
    <d v="2025-08-12T00:00:00"/>
    <x v="3"/>
    <x v="4"/>
    <x v="2"/>
  </r>
  <r>
    <n v="10030"/>
    <s v="Vina Gunawan"/>
    <s v="088849877694"/>
    <x v="1"/>
    <x v="3"/>
    <x v="4"/>
    <x v="8"/>
    <n v="250000"/>
    <n v="1500000"/>
    <d v="2025-08-24T00:00:00"/>
    <x v="3"/>
    <x v="3"/>
    <x v="1"/>
  </r>
  <r>
    <n v="10478"/>
    <s v="Zaki Setiawan"/>
    <s v="08695236687"/>
    <x v="5"/>
    <x v="4"/>
    <x v="6"/>
    <x v="3"/>
    <n v="75000"/>
    <n v="525000"/>
    <d v="2025-06-13T00:00:00"/>
    <x v="2"/>
    <x v="4"/>
    <x v="1"/>
  </r>
  <r>
    <n v="10462"/>
    <s v="Lina Saputra"/>
    <s v="088163928234"/>
    <x v="7"/>
    <x v="0"/>
    <x v="21"/>
    <x v="7"/>
    <n v="15000"/>
    <n v="150000"/>
    <d v="2025-11-08T00:00:00"/>
    <x v="4"/>
    <x v="4"/>
    <x v="2"/>
  </r>
  <r>
    <n v="10322"/>
    <s v="Tono Nugroho"/>
    <s v="088759980562"/>
    <x v="3"/>
    <x v="3"/>
    <x v="8"/>
    <x v="0"/>
    <n v="250000"/>
    <n v="2000000"/>
    <d v="2025-10-12T00:00:00"/>
    <x v="9"/>
    <x v="2"/>
    <x v="3"/>
  </r>
  <r>
    <n v="10298"/>
    <s v="Ahmad Kusuma"/>
    <s v=""/>
    <x v="7"/>
    <x v="1"/>
    <x v="22"/>
    <x v="6"/>
    <n v="50000"/>
    <n v="50000"/>
    <d v="2025-05-16T00:00:00"/>
    <x v="1"/>
    <x v="3"/>
    <x v="1"/>
  </r>
  <r>
    <n v="10311"/>
    <s v="Umi Santoso"/>
    <s v="088740633569"/>
    <x v="9"/>
    <x v="2"/>
    <x v="2"/>
    <x v="4"/>
    <n v="99000"/>
    <n v="198000"/>
    <d v="2025-09-25T00:00:00"/>
    <x v="10"/>
    <x v="4"/>
    <x v="4"/>
  </r>
  <r>
    <n v="10542"/>
    <s v="Erik Wijaya"/>
    <s v="088107835674"/>
    <x v="5"/>
    <x v="2"/>
    <x v="3"/>
    <x v="4"/>
    <n v="150000"/>
    <n v="300000"/>
    <d v="2025-03-09T00:00:00"/>
    <x v="11"/>
    <x v="3"/>
    <x v="2"/>
  </r>
  <r>
    <n v="10596"/>
    <s v="Putri Santoso"/>
    <s v="08162526546"/>
    <x v="5"/>
    <x v="2"/>
    <x v="14"/>
    <x v="5"/>
    <n v="120000"/>
    <n v="480000"/>
    <d v="2025-12-09T00:00:00"/>
    <x v="5"/>
    <x v="4"/>
    <x v="1"/>
  </r>
  <r>
    <n v="10085"/>
    <s v="Sari Halim"/>
    <s v="088691251778"/>
    <x v="0"/>
    <x v="2"/>
    <x v="16"/>
    <x v="4"/>
    <n v="50000"/>
    <n v="100000"/>
    <d v="2025-07-23T00:00:00"/>
    <x v="8"/>
    <x v="4"/>
    <x v="3"/>
  </r>
  <r>
    <n v="10498"/>
    <s v="Fitri Pratama"/>
    <s v="088371576605"/>
    <x v="0"/>
    <x v="3"/>
    <x v="18"/>
    <x v="3"/>
    <n v="45000"/>
    <n v="315000"/>
    <d v="2025-04-25T00:00:00"/>
    <x v="7"/>
    <x v="4"/>
    <x v="3"/>
  </r>
  <r>
    <n v="10033"/>
    <s v="Rian Halim"/>
    <s v="08518233749"/>
    <x v="0"/>
    <x v="0"/>
    <x v="21"/>
    <x v="2"/>
    <n v="50000"/>
    <n v="250000"/>
    <d v="2025-05-09T00:00:00"/>
    <x v="1"/>
    <x v="3"/>
    <x v="0"/>
  </r>
  <r>
    <n v="10412"/>
    <s v="Joko Saputra"/>
    <s v="08090225999"/>
    <x v="6"/>
    <x v="4"/>
    <x v="11"/>
    <x v="3"/>
    <n v="250000"/>
    <n v="1750000"/>
    <d v="2025-07-26T00:00:00"/>
    <x v="8"/>
    <x v="0"/>
    <x v="2"/>
  </r>
  <r>
    <n v="10261"/>
    <s v="Oki Lestari"/>
    <s v="088292518812"/>
    <x v="9"/>
    <x v="2"/>
    <x v="2"/>
    <x v="9"/>
    <n v="50000"/>
    <n v="150000"/>
    <d v="2025-12-19T00:00:00"/>
    <x v="5"/>
    <x v="0"/>
    <x v="4"/>
  </r>
  <r>
    <n v="10399"/>
    <s v="Andi Simatupang"/>
    <s v="08931109193"/>
    <x v="8"/>
    <x v="2"/>
    <x v="3"/>
    <x v="4"/>
    <n v="75000"/>
    <n v="150000"/>
    <d v="2025-11-30T00:00:00"/>
    <x v="4"/>
    <x v="2"/>
    <x v="1"/>
  </r>
  <r>
    <n v="10174"/>
    <s v="Oki Setiawan"/>
    <s v="088589944171"/>
    <x v="8"/>
    <x v="2"/>
    <x v="3"/>
    <x v="3"/>
    <n v="199000"/>
    <n v="1393000"/>
    <d v="2025-02-22T00:00:00"/>
    <x v="6"/>
    <x v="2"/>
    <x v="3"/>
  </r>
  <r>
    <n v="10545"/>
    <s v="Lina Nugroho"/>
    <s v="088375374584"/>
    <x v="9"/>
    <x v="1"/>
    <x v="12"/>
    <x v="4"/>
    <n v="250000"/>
    <n v="500000"/>
    <d v="2025-02-09T00:00:00"/>
    <x v="6"/>
    <x v="2"/>
    <x v="2"/>
  </r>
  <r>
    <n v="10215"/>
    <s v="Chandra Santoso"/>
    <s v="088210388629"/>
    <x v="0"/>
    <x v="4"/>
    <x v="10"/>
    <x v="0"/>
    <n v="199000"/>
    <n v="1592000"/>
    <d v="2025-10-30T00:00:00"/>
    <x v="9"/>
    <x v="2"/>
    <x v="4"/>
  </r>
  <r>
    <n v="10510"/>
    <s v="Andi Saputra"/>
    <s v=""/>
    <x v="4"/>
    <x v="1"/>
    <x v="1"/>
    <x v="1"/>
    <n v="150000"/>
    <n v="1350000"/>
    <d v="2025-01-21T00:00:00"/>
    <x v="0"/>
    <x v="1"/>
    <x v="0"/>
  </r>
  <r>
    <n v="10590"/>
    <s v="Yani Rahayu"/>
    <s v="088447417595"/>
    <x v="4"/>
    <x v="2"/>
    <x v="20"/>
    <x v="3"/>
    <n v="45000"/>
    <n v="315000"/>
    <d v="2025-04-07T00:00:00"/>
    <x v="7"/>
    <x v="1"/>
    <x v="4"/>
  </r>
  <r>
    <n v="10155"/>
    <s v="Putri Marpaung"/>
    <s v="08806578759"/>
    <x v="8"/>
    <x v="3"/>
    <x v="18"/>
    <x v="3"/>
    <n v="35000"/>
    <n v="245000"/>
    <d v="2025-03-08T00:00:00"/>
    <x v="11"/>
    <x v="3"/>
    <x v="3"/>
  </r>
  <r>
    <n v="10455"/>
    <s v="Rian Rahayu"/>
    <s v="088131290148"/>
    <x v="1"/>
    <x v="4"/>
    <x v="10"/>
    <x v="4"/>
    <n v="50000"/>
    <n v="100000"/>
    <d v="2025-07-28T00:00:00"/>
    <x v="8"/>
    <x v="1"/>
    <x v="0"/>
  </r>
  <r>
    <n v="10354"/>
    <s v="Hadi Hidayat"/>
    <s v="088436262044"/>
    <x v="4"/>
    <x v="1"/>
    <x v="12"/>
    <x v="9"/>
    <n v="99000"/>
    <n v="297000"/>
    <d v="2025-04-16T00:00:00"/>
    <x v="7"/>
    <x v="0"/>
    <x v="4"/>
  </r>
  <r>
    <n v="10327"/>
    <s v="Fajar Wijaya"/>
    <s v="088504481832"/>
    <x v="6"/>
    <x v="4"/>
    <x v="10"/>
    <x v="9"/>
    <n v="15000"/>
    <n v="45000"/>
    <d v="2025-05-20T00:00:00"/>
    <x v="1"/>
    <x v="1"/>
    <x v="1"/>
  </r>
  <r>
    <n v="10348"/>
    <s v="Chandra Siregar"/>
    <s v="088907851586"/>
    <x v="1"/>
    <x v="4"/>
    <x v="5"/>
    <x v="9"/>
    <n v="45000"/>
    <n v="135000"/>
    <d v="2025-05-21T00:00:00"/>
    <x v="1"/>
    <x v="4"/>
    <x v="1"/>
  </r>
  <r>
    <n v="10351"/>
    <s v="Citra Halim"/>
    <s v="088206345911"/>
    <x v="2"/>
    <x v="2"/>
    <x v="20"/>
    <x v="0"/>
    <n v="15000"/>
    <n v="120000"/>
    <d v="2025-01-27T00:00:00"/>
    <x v="0"/>
    <x v="3"/>
    <x v="1"/>
  </r>
  <r>
    <n v="10012"/>
    <s v="Budi Wijaya"/>
    <s v="08219136193"/>
    <x v="7"/>
    <x v="2"/>
    <x v="14"/>
    <x v="1"/>
    <n v="150000"/>
    <n v="1350000"/>
    <d v="2025-03-22T00:00:00"/>
    <x v="11"/>
    <x v="2"/>
    <x v="3"/>
  </r>
  <r>
    <n v="10571"/>
    <s v="Zaki Nugroho"/>
    <s v="088033041662"/>
    <x v="7"/>
    <x v="2"/>
    <x v="16"/>
    <x v="1"/>
    <n v="99000"/>
    <n v="891000"/>
    <d v="2025-06-09T00:00:00"/>
    <x v="2"/>
    <x v="2"/>
    <x v="4"/>
  </r>
  <r>
    <n v="10487"/>
    <s v="Kiki Rahayu"/>
    <s v="088971024817"/>
    <x v="2"/>
    <x v="3"/>
    <x v="4"/>
    <x v="5"/>
    <n v="45000"/>
    <n v="180000"/>
    <d v="2025-11-09T00:00:00"/>
    <x v="4"/>
    <x v="0"/>
    <x v="0"/>
  </r>
  <r>
    <n v="10398"/>
    <s v="Kiki Kusuma"/>
    <s v="08804661963"/>
    <x v="7"/>
    <x v="3"/>
    <x v="18"/>
    <x v="7"/>
    <n v="250000"/>
    <n v="2500000"/>
    <d v="2025-08-10T00:00:00"/>
    <x v="3"/>
    <x v="2"/>
    <x v="0"/>
  </r>
  <r>
    <n v="10554"/>
    <s v="Lina Wijaya"/>
    <s v="088536902611"/>
    <x v="9"/>
    <x v="3"/>
    <x v="24"/>
    <x v="7"/>
    <n v="45000"/>
    <n v="450000"/>
    <d v="2025-06-10T00:00:00"/>
    <x v="2"/>
    <x v="0"/>
    <x v="3"/>
  </r>
  <r>
    <n v="10336"/>
    <s v="Lina Nasution"/>
    <s v="088320101702"/>
    <x v="1"/>
    <x v="2"/>
    <x v="20"/>
    <x v="9"/>
    <n v="120000"/>
    <n v="360000"/>
    <d v="2025-02-25T00:00:00"/>
    <x v="6"/>
    <x v="2"/>
    <x v="2"/>
  </r>
  <r>
    <n v="10430"/>
    <s v="Zaki Halim"/>
    <s v="08016923645"/>
    <x v="1"/>
    <x v="1"/>
    <x v="22"/>
    <x v="3"/>
    <n v="120000"/>
    <n v="840000"/>
    <d v="2025-06-07T00:00:00"/>
    <x v="2"/>
    <x v="0"/>
    <x v="0"/>
  </r>
  <r>
    <n v="10294"/>
    <s v="Fitri Simatupang"/>
    <s v="088454414967"/>
    <x v="6"/>
    <x v="3"/>
    <x v="24"/>
    <x v="1"/>
    <n v="250000"/>
    <n v="2250000"/>
    <d v="2025-07-01T00:00:00"/>
    <x v="8"/>
    <x v="4"/>
    <x v="3"/>
  </r>
  <r>
    <n v="10065"/>
    <s v="Citra Marpaung"/>
    <s v="088218188355"/>
    <x v="3"/>
    <x v="2"/>
    <x v="14"/>
    <x v="1"/>
    <n v="25000"/>
    <n v="225000"/>
    <d v="2025-07-22T00:00:00"/>
    <x v="8"/>
    <x v="1"/>
    <x v="2"/>
  </r>
  <r>
    <n v="10018"/>
    <s v="Joko Nugroho"/>
    <s v="088685014294"/>
    <x v="7"/>
    <x v="4"/>
    <x v="11"/>
    <x v="8"/>
    <n v="50000"/>
    <n v="300000"/>
    <d v="2025-05-02T00:00:00"/>
    <x v="1"/>
    <x v="1"/>
    <x v="2"/>
  </r>
  <r>
    <n v="10230"/>
    <s v="Wawan Nugroho"/>
    <s v="088267288574"/>
    <x v="4"/>
    <x v="2"/>
    <x v="14"/>
    <x v="3"/>
    <n v="45000"/>
    <n v="315000"/>
    <d v="2025-03-16T00:00:00"/>
    <x v="11"/>
    <x v="3"/>
    <x v="1"/>
  </r>
  <r>
    <n v="10226"/>
    <s v="Sari Santoso"/>
    <s v="088334333395"/>
    <x v="6"/>
    <x v="4"/>
    <x v="23"/>
    <x v="2"/>
    <n v="35000"/>
    <n v="175000"/>
    <d v="2025-12-16T00:00:00"/>
    <x v="5"/>
    <x v="3"/>
    <x v="1"/>
  </r>
  <r>
    <n v="10099"/>
    <s v="Vina Nasution"/>
    <s v="088026206724"/>
    <x v="3"/>
    <x v="0"/>
    <x v="17"/>
    <x v="6"/>
    <n v="25000"/>
    <n v="25000"/>
    <d v="2025-11-30T00:00:00"/>
    <x v="4"/>
    <x v="0"/>
    <x v="4"/>
  </r>
  <r>
    <n v="10325"/>
    <s v="Chandra Rahayu"/>
    <s v="088714627301"/>
    <x v="4"/>
    <x v="2"/>
    <x v="14"/>
    <x v="5"/>
    <n v="15000"/>
    <n v="60000"/>
    <d v="2025-01-02T00:00:00"/>
    <x v="0"/>
    <x v="3"/>
    <x v="2"/>
  </r>
  <r>
    <n v="10473"/>
    <s v="Wawan Hidayat"/>
    <s v="088091660100"/>
    <x v="9"/>
    <x v="1"/>
    <x v="9"/>
    <x v="0"/>
    <n v="250000"/>
    <n v="2000000"/>
    <d v="2025-07-26T00:00:00"/>
    <x v="8"/>
    <x v="2"/>
    <x v="3"/>
  </r>
  <r>
    <n v="10132"/>
    <s v="Vina Nasution"/>
    <s v="08438427978"/>
    <x v="8"/>
    <x v="1"/>
    <x v="12"/>
    <x v="9"/>
    <n v="25000"/>
    <n v="75000"/>
    <d v="2025-10-17T00:00:00"/>
    <x v="9"/>
    <x v="2"/>
    <x v="4"/>
  </r>
  <r>
    <n v="10424"/>
    <s v="Andi Simatupang"/>
    <s v="088143639102"/>
    <x v="0"/>
    <x v="4"/>
    <x v="23"/>
    <x v="7"/>
    <n v="15000"/>
    <n v="150000"/>
    <d v="2025-04-30T00:00:00"/>
    <x v="7"/>
    <x v="2"/>
    <x v="3"/>
  </r>
  <r>
    <n v="10019"/>
    <s v="Umi Marpaung"/>
    <s v=""/>
    <x v="6"/>
    <x v="2"/>
    <x v="3"/>
    <x v="4"/>
    <n v="99000"/>
    <n v="198000"/>
    <d v="2025-10-23T00:00:00"/>
    <x v="9"/>
    <x v="3"/>
    <x v="2"/>
  </r>
  <r>
    <n v="10212"/>
    <s v="Indah Siregar"/>
    <s v="088723184322"/>
    <x v="0"/>
    <x v="0"/>
    <x v="17"/>
    <x v="0"/>
    <n v="120000"/>
    <n v="960000"/>
    <d v="2025-06-11T00:00:00"/>
    <x v="2"/>
    <x v="2"/>
    <x v="3"/>
  </r>
  <r>
    <n v="10416"/>
    <s v="Kiki Nasution"/>
    <s v="08263296762"/>
    <x v="8"/>
    <x v="3"/>
    <x v="24"/>
    <x v="2"/>
    <n v="250000"/>
    <n v="1250000"/>
    <d v="2025-08-22T00:00:00"/>
    <x v="3"/>
    <x v="1"/>
    <x v="2"/>
  </r>
  <r>
    <n v="10005"/>
    <s v="Vina Santoso"/>
    <s v="088018451462"/>
    <x v="2"/>
    <x v="1"/>
    <x v="12"/>
    <x v="7"/>
    <n v="120000"/>
    <n v="1200000"/>
    <d v="2025-09-28T00:00:00"/>
    <x v="10"/>
    <x v="1"/>
    <x v="3"/>
  </r>
  <r>
    <n v="10279"/>
    <s v="Andi Pratama"/>
    <s v="088149587020"/>
    <x v="0"/>
    <x v="2"/>
    <x v="20"/>
    <x v="2"/>
    <n v="35000"/>
    <n v="175000"/>
    <d v="2025-12-27T00:00:00"/>
    <x v="5"/>
    <x v="1"/>
    <x v="3"/>
  </r>
  <r>
    <n v="10291"/>
    <s v="Tono Santoso"/>
    <s v="08442944401"/>
    <x v="7"/>
    <x v="0"/>
    <x v="7"/>
    <x v="6"/>
    <n v="50000"/>
    <n v="50000"/>
    <d v="2025-09-06T00:00:00"/>
    <x v="10"/>
    <x v="2"/>
    <x v="4"/>
  </r>
  <r>
    <n v="10185"/>
    <s v="Chandra Santoso"/>
    <s v="088255794155"/>
    <x v="4"/>
    <x v="0"/>
    <x v="21"/>
    <x v="4"/>
    <n v="25000"/>
    <n v="50000"/>
    <d v="2025-01-24T00:00:00"/>
    <x v="0"/>
    <x v="2"/>
    <x v="4"/>
  </r>
  <r>
    <n v="10408"/>
    <s v="Indah Kusuma"/>
    <s v="088567766575"/>
    <x v="5"/>
    <x v="1"/>
    <x v="15"/>
    <x v="8"/>
    <n v="45000"/>
    <n v="270000"/>
    <d v="2025-10-26T00:00:00"/>
    <x v="9"/>
    <x v="2"/>
    <x v="1"/>
  </r>
  <r>
    <n v="10046"/>
    <s v="Dewi Simatupang"/>
    <s v="088586578091"/>
    <x v="9"/>
    <x v="4"/>
    <x v="5"/>
    <x v="0"/>
    <n v="50000"/>
    <n v="400000"/>
    <d v="2025-06-23T00:00:00"/>
    <x v="2"/>
    <x v="0"/>
    <x v="1"/>
  </r>
  <r>
    <n v="10513"/>
    <s v="Erik Wijaya"/>
    <s v="088971252967"/>
    <x v="7"/>
    <x v="3"/>
    <x v="18"/>
    <x v="8"/>
    <n v="199000"/>
    <n v="1194000"/>
    <d v="2025-07-14T00:00:00"/>
    <x v="8"/>
    <x v="1"/>
    <x v="4"/>
  </r>
  <r>
    <n v="10283"/>
    <s v="Made Kusuma"/>
    <s v="088197199758"/>
    <x v="3"/>
    <x v="2"/>
    <x v="14"/>
    <x v="3"/>
    <n v="199000"/>
    <n v="1393000"/>
    <d v="2025-06-25T00:00:00"/>
    <x v="2"/>
    <x v="0"/>
    <x v="4"/>
  </r>
  <r>
    <n v="10190"/>
    <s v="Bella Simatupang"/>
    <s v="088880199488"/>
    <x v="8"/>
    <x v="0"/>
    <x v="0"/>
    <x v="0"/>
    <n v="250000"/>
    <n v="2000000"/>
    <d v="2025-01-10T00:00:00"/>
    <x v="0"/>
    <x v="2"/>
    <x v="1"/>
  </r>
  <r>
    <n v="10447"/>
    <s v="Fajar Siregar"/>
    <s v="08068887189"/>
    <x v="1"/>
    <x v="2"/>
    <x v="2"/>
    <x v="4"/>
    <n v="75000"/>
    <n v="150000"/>
    <d v="2025-02-02T00:00:00"/>
    <x v="6"/>
    <x v="0"/>
    <x v="4"/>
  </r>
  <r>
    <n v="10220"/>
    <s v="Yani Wijaya"/>
    <s v=""/>
    <x v="1"/>
    <x v="3"/>
    <x v="24"/>
    <x v="9"/>
    <n v="120000"/>
    <n v="360000"/>
    <d v="2025-11-04T00:00:00"/>
    <x v="4"/>
    <x v="4"/>
    <x v="0"/>
  </r>
  <r>
    <n v="10587"/>
    <s v="Kiki Gunawan"/>
    <s v=""/>
    <x v="2"/>
    <x v="0"/>
    <x v="7"/>
    <x v="6"/>
    <n v="250000"/>
    <n v="250000"/>
    <d v="2025-07-26T00:00:00"/>
    <x v="8"/>
    <x v="4"/>
    <x v="0"/>
  </r>
  <r>
    <n v="10383"/>
    <s v="Lina Kusuma"/>
    <s v="088922877725"/>
    <x v="1"/>
    <x v="2"/>
    <x v="20"/>
    <x v="7"/>
    <n v="120000"/>
    <n v="1200000"/>
    <d v="2025-06-22T00:00:00"/>
    <x v="2"/>
    <x v="4"/>
    <x v="1"/>
  </r>
  <r>
    <n v="10050"/>
    <s v="Umi Halim"/>
    <s v="088095214562"/>
    <x v="3"/>
    <x v="0"/>
    <x v="13"/>
    <x v="4"/>
    <n v="250000"/>
    <n v="500000"/>
    <d v="2025-11-27T00:00:00"/>
    <x v="4"/>
    <x v="2"/>
    <x v="2"/>
  </r>
  <r>
    <n v="10552"/>
    <s v="Vina Wijaya"/>
    <s v="08058093511"/>
    <x v="0"/>
    <x v="2"/>
    <x v="20"/>
    <x v="6"/>
    <n v="150000"/>
    <n v="150000"/>
    <d v="2025-04-27T00:00:00"/>
    <x v="7"/>
    <x v="2"/>
    <x v="2"/>
  </r>
  <r>
    <n v="10526"/>
    <s v="Lina Rahayu"/>
    <s v="088075366614"/>
    <x v="0"/>
    <x v="3"/>
    <x v="18"/>
    <x v="9"/>
    <n v="45000"/>
    <n v="135000"/>
    <d v="2025-08-10T00:00:00"/>
    <x v="3"/>
    <x v="0"/>
    <x v="0"/>
  </r>
  <r>
    <n v="10310"/>
    <s v="Fajar Siregar"/>
    <s v="088042177625"/>
    <x v="9"/>
    <x v="4"/>
    <x v="10"/>
    <x v="2"/>
    <n v="45000"/>
    <n v="225000"/>
    <d v="2025-06-21T00:00:00"/>
    <x v="2"/>
    <x v="3"/>
    <x v="0"/>
  </r>
  <r>
    <n v="10267"/>
    <s v="Yani Santoso"/>
    <s v="088268602592"/>
    <x v="5"/>
    <x v="1"/>
    <x v="22"/>
    <x v="4"/>
    <n v="150000"/>
    <n v="300000"/>
    <d v="2025-12-29T00:00:00"/>
    <x v="5"/>
    <x v="4"/>
    <x v="3"/>
  </r>
  <r>
    <n v="10584"/>
    <s v="Erik Marpaung"/>
    <s v="088365203758"/>
    <x v="9"/>
    <x v="0"/>
    <x v="21"/>
    <x v="8"/>
    <n v="99000"/>
    <n v="594000"/>
    <d v="2025-04-20T00:00:00"/>
    <x v="7"/>
    <x v="0"/>
    <x v="3"/>
  </r>
  <r>
    <n v="10196"/>
    <s v="Ahmad Santoso"/>
    <s v="088838638406"/>
    <x v="4"/>
    <x v="3"/>
    <x v="18"/>
    <x v="5"/>
    <n v="150000"/>
    <n v="600000"/>
    <d v="2025-01-17T00:00:00"/>
    <x v="0"/>
    <x v="1"/>
    <x v="1"/>
  </r>
  <r>
    <n v="10119"/>
    <s v="Ahmad Siregar"/>
    <s v="088961943114"/>
    <x v="7"/>
    <x v="0"/>
    <x v="21"/>
    <x v="0"/>
    <n v="45000"/>
    <n v="360000"/>
    <d v="2025-07-02T00:00:00"/>
    <x v="8"/>
    <x v="0"/>
    <x v="1"/>
  </r>
  <r>
    <n v="10443"/>
    <s v="Eka Hidayat"/>
    <s v="088675661844"/>
    <x v="7"/>
    <x v="1"/>
    <x v="12"/>
    <x v="2"/>
    <n v="250000"/>
    <n v="1250000"/>
    <d v="2025-03-23T00:00:00"/>
    <x v="11"/>
    <x v="2"/>
    <x v="3"/>
  </r>
  <r>
    <n v="10263"/>
    <s v="Lina Kusuma"/>
    <s v="088330604633"/>
    <x v="9"/>
    <x v="2"/>
    <x v="14"/>
    <x v="8"/>
    <n v="35000"/>
    <n v="210000"/>
    <d v="2025-07-18T00:00:00"/>
    <x v="8"/>
    <x v="4"/>
    <x v="1"/>
  </r>
  <r>
    <n v="10188"/>
    <s v="Lina Siregar"/>
    <s v=""/>
    <x v="0"/>
    <x v="3"/>
    <x v="24"/>
    <x v="9"/>
    <n v="150000"/>
    <n v="450000"/>
    <d v="2025-08-29T00:00:00"/>
    <x v="3"/>
    <x v="4"/>
    <x v="4"/>
  </r>
  <r>
    <n v="10022"/>
    <s v="Chandra Nugroho"/>
    <s v="088936763201"/>
    <x v="3"/>
    <x v="4"/>
    <x v="5"/>
    <x v="6"/>
    <n v="45000"/>
    <n v="45000"/>
    <d v="2025-09-01T00:00:00"/>
    <x v="10"/>
    <x v="0"/>
    <x v="0"/>
  </r>
  <r>
    <n v="10410"/>
    <s v="Wawan Gunawan"/>
    <s v="088456690782"/>
    <x v="4"/>
    <x v="0"/>
    <x v="13"/>
    <x v="7"/>
    <n v="35000"/>
    <n v="350000"/>
    <d v="2025-10-06T00:00:00"/>
    <x v="9"/>
    <x v="1"/>
    <x v="0"/>
  </r>
  <r>
    <n v="10432"/>
    <s v="Made Kusuma"/>
    <s v="088611952436"/>
    <x v="3"/>
    <x v="4"/>
    <x v="11"/>
    <x v="2"/>
    <n v="50000"/>
    <n v="250000"/>
    <d v="2025-09-14T00:00:00"/>
    <x v="10"/>
    <x v="0"/>
    <x v="1"/>
  </r>
  <r>
    <n v="10309"/>
    <s v="Kiki Marpaung"/>
    <s v="08317970623"/>
    <x v="6"/>
    <x v="3"/>
    <x v="18"/>
    <x v="5"/>
    <n v="25000"/>
    <n v="100000"/>
    <d v="2025-05-02T00:00:00"/>
    <x v="1"/>
    <x v="4"/>
    <x v="4"/>
  </r>
  <r>
    <n v="10080"/>
    <s v="Bella Halim"/>
    <s v="088841616928"/>
    <x v="1"/>
    <x v="1"/>
    <x v="12"/>
    <x v="8"/>
    <n v="35000"/>
    <n v="210000"/>
    <d v="2025-12-09T00:00:00"/>
    <x v="5"/>
    <x v="4"/>
    <x v="2"/>
  </r>
  <r>
    <n v="10524"/>
    <s v="Tono Marpaung"/>
    <s v="08954107272"/>
    <x v="4"/>
    <x v="3"/>
    <x v="8"/>
    <x v="1"/>
    <n v="75000"/>
    <n v="675000"/>
    <d v="2025-10-11T00:00:00"/>
    <x v="9"/>
    <x v="2"/>
    <x v="1"/>
  </r>
  <r>
    <n v="10391"/>
    <s v="Bella Gunawan"/>
    <s v="088950209700"/>
    <x v="4"/>
    <x v="1"/>
    <x v="22"/>
    <x v="5"/>
    <n v="250000"/>
    <n v="1000000"/>
    <d v="2025-06-14T00:00:00"/>
    <x v="2"/>
    <x v="1"/>
    <x v="4"/>
  </r>
  <r>
    <n v="10103"/>
    <s v="Nita Nasution"/>
    <s v="088108839822"/>
    <x v="3"/>
    <x v="2"/>
    <x v="16"/>
    <x v="1"/>
    <n v="120000"/>
    <n v="1080000"/>
    <d v="2025-09-28T00:00:00"/>
    <x v="10"/>
    <x v="1"/>
    <x v="0"/>
  </r>
  <r>
    <n v="10150"/>
    <s v="Nita Halim"/>
    <s v="088623445655"/>
    <x v="5"/>
    <x v="3"/>
    <x v="8"/>
    <x v="9"/>
    <n v="250000"/>
    <n v="750000"/>
    <d v="2025-07-21T00:00:00"/>
    <x v="8"/>
    <x v="2"/>
    <x v="3"/>
  </r>
  <r>
    <n v="10039"/>
    <s v="Fajar Rahayu"/>
    <s v="088771906594"/>
    <x v="2"/>
    <x v="1"/>
    <x v="1"/>
    <x v="0"/>
    <n v="50000"/>
    <n v="400000"/>
    <d v="2025-12-25T00:00:00"/>
    <x v="5"/>
    <x v="4"/>
    <x v="2"/>
  </r>
  <r>
    <n v="10381"/>
    <s v="Dewi Hidayat"/>
    <s v="088940821545"/>
    <x v="8"/>
    <x v="4"/>
    <x v="23"/>
    <x v="8"/>
    <n v="25000"/>
    <n v="150000"/>
    <d v="2025-05-11T00:00:00"/>
    <x v="1"/>
    <x v="4"/>
    <x v="0"/>
  </r>
  <r>
    <n v="10334"/>
    <s v="Citra Gunawan"/>
    <s v="088463175207"/>
    <x v="5"/>
    <x v="0"/>
    <x v="21"/>
    <x v="7"/>
    <n v="50000"/>
    <n v="500000"/>
    <d v="2025-12-18T00:00:00"/>
    <x v="5"/>
    <x v="4"/>
    <x v="4"/>
  </r>
  <r>
    <n v="10078"/>
    <s v="Vina Siregar"/>
    <s v="088520585277"/>
    <x v="4"/>
    <x v="3"/>
    <x v="18"/>
    <x v="4"/>
    <n v="75000"/>
    <n v="150000"/>
    <d v="2025-05-04T00:00:00"/>
    <x v="1"/>
    <x v="2"/>
    <x v="3"/>
  </r>
  <r>
    <n v="10041"/>
    <s v="Nita Nasution"/>
    <s v="088680876038"/>
    <x v="1"/>
    <x v="3"/>
    <x v="4"/>
    <x v="4"/>
    <n v="75000"/>
    <n v="150000"/>
    <d v="2025-05-10T00:00:00"/>
    <x v="1"/>
    <x v="1"/>
    <x v="0"/>
  </r>
  <r>
    <n v="10582"/>
    <s v="Bella Nugroho"/>
    <s v="088028767548"/>
    <x v="5"/>
    <x v="4"/>
    <x v="6"/>
    <x v="9"/>
    <n v="120000"/>
    <n v="360000"/>
    <d v="2025-01-01T00:00:00"/>
    <x v="0"/>
    <x v="1"/>
    <x v="0"/>
  </r>
  <r>
    <n v="10536"/>
    <s v="Ahmad Nugroho"/>
    <s v=""/>
    <x v="5"/>
    <x v="1"/>
    <x v="12"/>
    <x v="4"/>
    <n v="15000"/>
    <n v="30000"/>
    <d v="2025-10-11T00:00:00"/>
    <x v="9"/>
    <x v="1"/>
    <x v="0"/>
  </r>
  <r>
    <n v="10249"/>
    <s v="Gita Hidayat"/>
    <s v="08612286852"/>
    <x v="3"/>
    <x v="4"/>
    <x v="23"/>
    <x v="1"/>
    <n v="99000"/>
    <n v="891000"/>
    <d v="2025-02-24T00:00:00"/>
    <x v="6"/>
    <x v="0"/>
    <x v="2"/>
  </r>
  <r>
    <n v="10469"/>
    <s v="Indah Hidayat"/>
    <s v="088844344812"/>
    <x v="7"/>
    <x v="2"/>
    <x v="2"/>
    <x v="7"/>
    <n v="15000"/>
    <n v="150000"/>
    <d v="2025-09-20T00:00:00"/>
    <x v="10"/>
    <x v="4"/>
    <x v="3"/>
  </r>
  <r>
    <n v="10353"/>
    <s v="Fitri Nugroho"/>
    <s v="088152910867"/>
    <x v="8"/>
    <x v="0"/>
    <x v="13"/>
    <x v="6"/>
    <n v="99000"/>
    <n v="99000"/>
    <d v="2025-11-13T00:00:00"/>
    <x v="4"/>
    <x v="4"/>
    <x v="3"/>
  </r>
  <r>
    <n v="10281"/>
    <s v="Joko Simatupang"/>
    <s v="088577017157"/>
    <x v="3"/>
    <x v="4"/>
    <x v="23"/>
    <x v="2"/>
    <n v="75000"/>
    <n v="375000"/>
    <d v="2025-07-20T00:00:00"/>
    <x v="8"/>
    <x v="3"/>
    <x v="2"/>
  </r>
  <r>
    <n v="10441"/>
    <s v="Tono Saputra"/>
    <s v="088993160875"/>
    <x v="7"/>
    <x v="2"/>
    <x v="2"/>
    <x v="3"/>
    <n v="99000"/>
    <n v="693000"/>
    <d v="2025-06-13T00:00:00"/>
    <x v="2"/>
    <x v="1"/>
    <x v="4"/>
  </r>
  <r>
    <n v="10505"/>
    <s v="Kiki Lestari"/>
    <s v="088477686342"/>
    <x v="5"/>
    <x v="4"/>
    <x v="10"/>
    <x v="2"/>
    <n v="120000"/>
    <n v="600000"/>
    <d v="2025-04-13T00:00:00"/>
    <x v="7"/>
    <x v="2"/>
    <x v="2"/>
  </r>
  <r>
    <n v="10148"/>
    <s v="Erik Simatupang"/>
    <s v="088493759738"/>
    <x v="4"/>
    <x v="3"/>
    <x v="8"/>
    <x v="0"/>
    <n v="15000"/>
    <n v="120000"/>
    <d v="2025-07-08T00:00:00"/>
    <x v="8"/>
    <x v="3"/>
    <x v="2"/>
  </r>
  <r>
    <n v="10129"/>
    <s v="Yani Hidayat"/>
    <s v="08147859696"/>
    <x v="4"/>
    <x v="3"/>
    <x v="8"/>
    <x v="4"/>
    <n v="150000"/>
    <n v="300000"/>
    <d v="2025-06-04T00:00:00"/>
    <x v="2"/>
    <x v="1"/>
    <x v="2"/>
  </r>
  <r>
    <m/>
    <s v=""/>
    <m/>
    <x v="10"/>
    <x v="5"/>
    <x v="25"/>
    <x v="10"/>
    <m/>
    <m/>
    <m/>
    <x v="12"/>
    <x v="5"/>
    <x v="5"/>
  </r>
  <r>
    <m/>
    <s v=""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  <r>
    <m/>
    <m/>
    <m/>
    <x v="10"/>
    <x v="5"/>
    <x v="25"/>
    <x v="10"/>
    <m/>
    <m/>
    <m/>
    <x v="12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CBE69-75F7-4437-8652-DFD799035EF7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0" firstHeaderRow="1" firstDataRow="2" firstDataCol="1" rowPageCount="1" colPageCount="1"/>
  <pivotFields count="13">
    <pivotField showAll="0"/>
    <pivotField showAll="0"/>
    <pivotField showAll="0"/>
    <pivotField axis="axisPage" showAll="0">
      <items count="11">
        <item x="3"/>
        <item x="0"/>
        <item x="5"/>
        <item x="1"/>
        <item x="2"/>
        <item x="7"/>
        <item x="8"/>
        <item x="4"/>
        <item x="9"/>
        <item x="6"/>
        <item t="default"/>
      </items>
    </pivotField>
    <pivotField axis="axisCol" showAll="0">
      <items count="6">
        <item x="3"/>
        <item x="4"/>
        <item x="0"/>
        <item x="2"/>
        <item x="1"/>
        <item t="default"/>
      </items>
    </pivotField>
    <pivotField axis="axisRow" showAll="0">
      <items count="26">
        <item x="10"/>
        <item x="3"/>
        <item x="15"/>
        <item x="24"/>
        <item x="6"/>
        <item x="4"/>
        <item x="5"/>
        <item x="11"/>
        <item x="2"/>
        <item x="16"/>
        <item x="9"/>
        <item x="17"/>
        <item x="20"/>
        <item x="21"/>
        <item x="7"/>
        <item x="8"/>
        <item x="19"/>
        <item x="1"/>
        <item x="22"/>
        <item x="0"/>
        <item x="18"/>
        <item x="13"/>
        <item x="14"/>
        <item x="12"/>
        <item x="23"/>
        <item t="default"/>
      </items>
    </pivotField>
    <pivotField showAll="0"/>
    <pivotField numFmtId="44" showAll="0"/>
    <pivotField dataField="1" numFmtId="44" showAll="0"/>
    <pivotField showAll="0"/>
    <pivotField showAll="0"/>
    <pivotField showAll="0"/>
    <pivotField showAll="0"/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3" hier="-1"/>
  </pageFields>
  <dataFields count="1">
    <dataField name="Sum of Total Harga " fld="8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FEEAA-7BF4-4BC0-B2ED-19EA6E954E8D}" name="PivotTable1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>
  <location ref="J3:V16" firstHeaderRow="1" firstDataRow="2" firstDataCol="1"/>
  <pivotFields count="17">
    <pivotField showAll="0"/>
    <pivotField showAll="0"/>
    <pivotField showAll="0"/>
    <pivotField axis="axisRow" showAll="0">
      <items count="12">
        <item x="3"/>
        <item x="0"/>
        <item x="5"/>
        <item x="1"/>
        <item x="2"/>
        <item x="7"/>
        <item x="8"/>
        <item x="4"/>
        <item x="9"/>
        <item x="6"/>
        <item x="10"/>
        <item t="default"/>
      </items>
    </pivotField>
    <pivotField showAll="0"/>
    <pivotField showAll="0"/>
    <pivotField axis="axisCol" showAll="0">
      <items count="12">
        <item x="6"/>
        <item x="4"/>
        <item x="9"/>
        <item x="5"/>
        <item x="2"/>
        <item x="8"/>
        <item x="3"/>
        <item x="0"/>
        <item x="1"/>
        <item x="7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otal Harga " fld="8" baseField="0" baseItem="0" numFmtId="44"/>
  </dataFields>
  <formats count="6">
    <format dxfId="67">
      <pivotArea outline="0" collapsedLevelsAreSubtotals="1" fieldPosition="0"/>
    </format>
    <format dxfId="66">
      <pivotArea field="6" type="button" dataOnly="0" labelOnly="1" outline="0" axis="axisCol" fieldPosition="0"/>
    </format>
    <format dxfId="65">
      <pivotArea type="topRight" dataOnly="0" labelOnly="1" outline="0" fieldPosition="0"/>
    </format>
    <format dxfId="64">
      <pivotArea dataOnly="0" labelOnly="1" grandCol="1" outline="0" fieldPosition="0"/>
    </format>
    <format dxfId="63">
      <pivotArea dataOnly="0" labelOnly="1" fieldPosition="0">
        <references count="1">
          <reference field="6" count="0"/>
        </references>
      </pivotArea>
    </format>
    <format dxfId="62">
      <pivotArea dataOnly="0" labelOnly="1" fieldPosition="0">
        <references count="1">
          <reference field="6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10FD7-1CA2-4966-ADAA-E11FF757B1C6}" name="PivotTable1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H40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7">
        <item x="3"/>
        <item x="1"/>
        <item x="4"/>
        <item x="0"/>
        <item x="2"/>
        <item x="5"/>
        <item t="default"/>
      </items>
    </pivotField>
    <pivotField axis="axisRow" showAll="0">
      <items count="7">
        <item x="2"/>
        <item x="1"/>
        <item x="4"/>
        <item x="3"/>
        <item x="0"/>
        <item x="5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Harga " fld="8" baseField="0" baseItem="0"/>
  </dataFields>
  <formats count="5">
    <format dxfId="72">
      <pivotArea outline="0" collapsedLevelsAreSubtotals="1" fieldPosition="0">
        <references count="1">
          <reference field="11" count="0" selected="0"/>
        </references>
      </pivotArea>
    </format>
    <format dxfId="71">
      <pivotArea field="11" type="button" dataOnly="0" labelOnly="1" outline="0" axis="axisCol" fieldPosition="0"/>
    </format>
    <format dxfId="70">
      <pivotArea type="topRight" dataOnly="0" labelOnly="1" outline="0" fieldPosition="0"/>
    </format>
    <format dxfId="69">
      <pivotArea dataOnly="0" labelOnly="1" fieldPosition="0">
        <references count="1">
          <reference field="11" count="0"/>
        </references>
      </pivotArea>
    </format>
    <format dxfId="68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FAF96-01D9-43AC-8B87-2D7FCE4AB148}" name="PivotTable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2:M76" firstHeaderRow="1" firstDataRow="2" firstDataCol="1"/>
  <pivotFields count="17">
    <pivotField showAll="0"/>
    <pivotField showAll="0"/>
    <pivotField showAll="0"/>
    <pivotField axis="axisCol" showAll="0">
      <items count="12">
        <item x="3"/>
        <item x="0"/>
        <item x="5"/>
        <item x="1"/>
        <item x="2"/>
        <item x="7"/>
        <item x="8"/>
        <item x="4"/>
        <item x="9"/>
        <item x="6"/>
        <item x="10"/>
        <item t="default"/>
      </items>
    </pivotField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x="2"/>
        <item x="1"/>
        <item x="4"/>
        <item x="3"/>
        <item x="0"/>
        <item x="5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4"/>
    <field x="12"/>
  </rowFields>
  <rowItems count="3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 v="5"/>
    </i>
    <i t="grand">
      <x/>
    </i>
  </rowItems>
  <colFields count="1">
    <field x="3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otal Harga " fld="8" baseField="0" baseItem="0" numFmtId="165"/>
  </dataFields>
  <formats count="1">
    <format dxfId="7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35B43-D737-4021-94CC-767AE7EA08B7}" name="PivotTable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8:K32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4">
        <item x="0"/>
        <item x="6"/>
        <item x="11"/>
        <item x="7"/>
        <item x="1"/>
        <item x="2"/>
        <item x="8"/>
        <item x="3"/>
        <item x="10"/>
        <item x="9"/>
        <item x="4"/>
        <item x="5"/>
        <item x="12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Harga " fld="8" baseField="0" baseItem="0" numFmtId="44"/>
  </dataFields>
  <formats count="2">
    <format dxfId="75">
      <pivotArea outline="0" collapsedLevelsAreSubtotals="1" fieldPosition="0"/>
    </format>
    <format dxfId="7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6CD57-E4B1-4894-B0C4-EF57919DBDD8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7">
    <pivotField showAll="0"/>
    <pivotField showAll="0"/>
    <pivotField showAll="0"/>
    <pivotField showAll="0"/>
    <pivotField axis="axisRow" showAll="0">
      <items count="7">
        <item x="3"/>
        <item x="4"/>
        <item x="0"/>
        <item x="2"/>
        <item x="1"/>
        <item h="1"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Harga " fld="8" baseField="0" baseItem="0"/>
  </dataFields>
  <formats count="1">
    <format dxfId="56">
      <pivotArea outline="0" collapsedLevelsAreSubtotals="1" fieldPosition="0"/>
    </format>
  </formats>
  <chartFormats count="1"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5A847-2AA1-4DC3-8776-0E50FB34714E}" name="PivotTable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8:B31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4">
        <item x="0"/>
        <item x="6"/>
        <item x="11"/>
        <item x="7"/>
        <item x="1"/>
        <item x="2"/>
        <item x="8"/>
        <item x="3"/>
        <item x="10"/>
        <item x="9"/>
        <item x="4"/>
        <item x="5"/>
        <item h="1" x="12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Harga " fld="8" baseField="0" baseItem="0" numFmtId="44"/>
  </dataFields>
  <formats count="1">
    <format dxfId="6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9A253-72BF-4542-81D1-A0080278EF33}" name="PivotTable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1:I1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7">
        <item x="3"/>
        <item x="1"/>
        <item x="4"/>
        <item x="0"/>
        <item x="2"/>
        <item h="1" x="5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Harga " fld="8" baseField="0" baseItem="0" numFmtId="44"/>
  </dataFields>
  <formats count="1">
    <format dxfId="6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D947D2-60CF-4672-8989-F77F440DEAA8}" name="PivotTable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5:C46" firstHeaderRow="1" firstDataRow="1" firstDataCol="1" rowPageCount="1" colPageCount="1"/>
  <pivotFields count="17">
    <pivotField showAll="0"/>
    <pivotField showAll="0"/>
    <pivotField showAll="0"/>
    <pivotField axis="axisRow" showAll="0" sortType="descending">
      <items count="12">
        <item x="3"/>
        <item x="0"/>
        <item x="5"/>
        <item x="1"/>
        <item x="2"/>
        <item x="7"/>
        <item x="8"/>
        <item x="4"/>
        <item x="9"/>
        <item x="6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7">
        <item x="2"/>
        <item h="1" x="1"/>
        <item h="1" x="4"/>
        <item x="3"/>
        <item h="1" x="0"/>
        <item h="1" x="5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1">
    <i>
      <x v="3"/>
    </i>
    <i>
      <x v="5"/>
    </i>
    <i>
      <x v="7"/>
    </i>
    <i>
      <x/>
    </i>
    <i>
      <x v="9"/>
    </i>
    <i>
      <x v="6"/>
    </i>
    <i>
      <x v="8"/>
    </i>
    <i>
      <x v="1"/>
    </i>
    <i>
      <x v="4"/>
    </i>
    <i>
      <x v="2"/>
    </i>
    <i t="grand">
      <x/>
    </i>
  </rowItems>
  <colItems count="1">
    <i/>
  </colItems>
  <pageFields count="1">
    <pageField fld="12" hier="-1"/>
  </pageFields>
  <dataFields count="1">
    <dataField name="Count of Status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E121C4-888F-41B5-8D96-7C3E3ACB880E}" name="PivotTable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30" firstHeaderRow="1" firstDataRow="2" firstDataCol="1"/>
  <pivotFields count="17">
    <pivotField showAll="0"/>
    <pivotField showAll="0"/>
    <pivotField showAll="0"/>
    <pivotField showAll="0"/>
    <pivotField showAll="0"/>
    <pivotField axis="axisRow" showAll="0" sortType="descending">
      <items count="27">
        <item x="10"/>
        <item x="3"/>
        <item x="15"/>
        <item x="24"/>
        <item x="6"/>
        <item x="4"/>
        <item x="5"/>
        <item x="11"/>
        <item x="2"/>
        <item x="16"/>
        <item x="9"/>
        <item x="17"/>
        <item x="20"/>
        <item x="21"/>
        <item x="7"/>
        <item x="8"/>
        <item x="19"/>
        <item x="1"/>
        <item x="22"/>
        <item x="0"/>
        <item x="18"/>
        <item x="13"/>
        <item x="14"/>
        <item x="12"/>
        <item x="23"/>
        <item h="1" x="2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0" count="1" selected="0">
              <x v="11"/>
            </reference>
          </references>
        </pivotArea>
      </autoSortScope>
    </pivotField>
    <pivotField dataField="1" showAll="0"/>
    <pivotField showAll="0"/>
    <pivotField showAll="0"/>
    <pivotField showAll="0"/>
    <pivotField axis="axisCol" showAll="0">
      <items count="14">
        <item x="0"/>
        <item x="6"/>
        <item x="11"/>
        <item x="7"/>
        <item x="1"/>
        <item x="2"/>
        <item x="8"/>
        <item x="3"/>
        <item x="10"/>
        <item x="9"/>
        <item x="4"/>
        <item x="5"/>
        <item x="12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26">
    <i>
      <x v="19"/>
    </i>
    <i>
      <x v="2"/>
    </i>
    <i>
      <x v="23"/>
    </i>
    <i>
      <x v="8"/>
    </i>
    <i>
      <x v="14"/>
    </i>
    <i>
      <x v="22"/>
    </i>
    <i>
      <x v="24"/>
    </i>
    <i>
      <x v="20"/>
    </i>
    <i>
      <x v="4"/>
    </i>
    <i>
      <x v="1"/>
    </i>
    <i>
      <x v="3"/>
    </i>
    <i>
      <x v="11"/>
    </i>
    <i>
      <x v="12"/>
    </i>
    <i>
      <x v="17"/>
    </i>
    <i>
      <x v="13"/>
    </i>
    <i>
      <x v="21"/>
    </i>
    <i>
      <x v="7"/>
    </i>
    <i>
      <x v="6"/>
    </i>
    <i>
      <x v="5"/>
    </i>
    <i>
      <x v="10"/>
    </i>
    <i>
      <x v="9"/>
    </i>
    <i>
      <x v="18"/>
    </i>
    <i>
      <x v="15"/>
    </i>
    <i>
      <x/>
    </i>
    <i>
      <x v="16"/>
    </i>
    <i t="grand">
      <x/>
    </i>
  </rowItems>
  <colFields count="1">
    <field x="1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Qty" fld="6" baseField="0" baseItem="0" numFmtId="1"/>
  </dataFields>
  <formats count="1">
    <format dxfId="5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B2FD-9F7F-4D3B-8347-F2421E3F6675}">
  <dimension ref="A1:V76"/>
  <sheetViews>
    <sheetView zoomScale="74" zoomScaleNormal="74" workbookViewId="0">
      <selection activeCell="I2" sqref="I2"/>
    </sheetView>
  </sheetViews>
  <sheetFormatPr defaultRowHeight="14.5" x14ac:dyDescent="0.35"/>
  <cols>
    <col min="1" max="1" width="17.6328125" bestFit="1" customWidth="1"/>
    <col min="2" max="2" width="16.08984375" bestFit="1" customWidth="1"/>
    <col min="3" max="9" width="14.7265625" bestFit="1" customWidth="1"/>
    <col min="10" max="10" width="13.26953125" bestFit="1" customWidth="1"/>
    <col min="11" max="11" width="18.90625" bestFit="1" customWidth="1"/>
    <col min="12" max="12" width="6.7265625" bestFit="1" customWidth="1"/>
    <col min="13" max="13" width="15.7265625" bestFit="1" customWidth="1"/>
    <col min="14" max="20" width="16" bestFit="1" customWidth="1"/>
    <col min="21" max="21" width="6.7265625" bestFit="1" customWidth="1"/>
    <col min="22" max="22" width="17.08984375" bestFit="1" customWidth="1"/>
    <col min="23" max="24" width="15" bestFit="1" customWidth="1"/>
    <col min="25" max="25" width="16" bestFit="1" customWidth="1"/>
    <col min="26" max="30" width="15" bestFit="1" customWidth="1"/>
    <col min="31" max="31" width="16" bestFit="1" customWidth="1"/>
    <col min="32" max="36" width="15" bestFit="1" customWidth="1"/>
    <col min="37" max="37" width="16" bestFit="1" customWidth="1"/>
    <col min="38" max="40" width="15" bestFit="1" customWidth="1"/>
    <col min="41" max="41" width="16" bestFit="1" customWidth="1"/>
    <col min="42" max="42" width="15" bestFit="1" customWidth="1"/>
    <col min="43" max="44" width="16" bestFit="1" customWidth="1"/>
    <col min="45" max="45" width="15" bestFit="1" customWidth="1"/>
    <col min="46" max="46" width="16" bestFit="1" customWidth="1"/>
    <col min="47" max="48" width="15" bestFit="1" customWidth="1"/>
    <col min="49" max="50" width="16" bestFit="1" customWidth="1"/>
    <col min="51" max="52" width="15" bestFit="1" customWidth="1"/>
    <col min="53" max="53" width="16" bestFit="1" customWidth="1"/>
    <col min="54" max="54" width="15" bestFit="1" customWidth="1"/>
    <col min="55" max="56" width="16" bestFit="1" customWidth="1"/>
    <col min="57" max="57" width="15" bestFit="1" customWidth="1"/>
    <col min="58" max="58" width="16" bestFit="1" customWidth="1"/>
    <col min="59" max="59" width="15" bestFit="1" customWidth="1"/>
    <col min="60" max="61" width="16" bestFit="1" customWidth="1"/>
    <col min="62" max="62" width="9.36328125" bestFit="1" customWidth="1"/>
    <col min="63" max="63" width="7.26953125" bestFit="1" customWidth="1"/>
    <col min="64" max="64" width="10.08984375" bestFit="1" customWidth="1"/>
    <col min="66" max="66" width="13.1796875" bestFit="1" customWidth="1"/>
    <col min="67" max="67" width="11.453125" bestFit="1" customWidth="1"/>
    <col min="68" max="68" width="17.08984375" bestFit="1" customWidth="1"/>
  </cols>
  <sheetData>
    <row r="1" spans="1:22" x14ac:dyDescent="0.35">
      <c r="A1" s="18" t="s">
        <v>415</v>
      </c>
      <c r="B1" t="s">
        <v>1018</v>
      </c>
    </row>
    <row r="3" spans="1:22" x14ac:dyDescent="0.35">
      <c r="A3" s="18" t="s">
        <v>1003</v>
      </c>
      <c r="B3" s="18" t="s">
        <v>999</v>
      </c>
      <c r="J3" s="18" t="s">
        <v>1003</v>
      </c>
      <c r="K3" s="25" t="s">
        <v>999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x14ac:dyDescent="0.35">
      <c r="A4" s="18" t="s">
        <v>1002</v>
      </c>
      <c r="B4" t="s">
        <v>29</v>
      </c>
      <c r="C4" t="s">
        <v>34</v>
      </c>
      <c r="D4" t="s">
        <v>11</v>
      </c>
      <c r="E4" t="s">
        <v>18</v>
      </c>
      <c r="F4" t="s">
        <v>15</v>
      </c>
      <c r="G4" t="s">
        <v>1001</v>
      </c>
      <c r="J4" s="18" t="s">
        <v>436</v>
      </c>
      <c r="K4" s="30">
        <v>1</v>
      </c>
      <c r="L4" s="30">
        <v>2</v>
      </c>
      <c r="M4" s="30">
        <v>3</v>
      </c>
      <c r="N4" s="30">
        <v>4</v>
      </c>
      <c r="O4" s="30">
        <v>5</v>
      </c>
      <c r="P4" s="30">
        <v>6</v>
      </c>
      <c r="Q4" s="30">
        <v>7</v>
      </c>
      <c r="R4" s="30">
        <v>8</v>
      </c>
      <c r="S4" s="30">
        <v>9</v>
      </c>
      <c r="T4" s="30">
        <v>10</v>
      </c>
      <c r="U4" s="30" t="s">
        <v>1000</v>
      </c>
      <c r="V4" s="10" t="s">
        <v>1001</v>
      </c>
    </row>
    <row r="5" spans="1:22" x14ac:dyDescent="0.35">
      <c r="A5" s="19" t="s">
        <v>45</v>
      </c>
      <c r="B5" s="10"/>
      <c r="C5" s="10">
        <v>12554000</v>
      </c>
      <c r="D5" s="10"/>
      <c r="E5" s="10"/>
      <c r="F5" s="10"/>
      <c r="G5" s="10">
        <v>12554000</v>
      </c>
      <c r="J5" s="19" t="s">
        <v>23</v>
      </c>
      <c r="K5" s="10">
        <v>1255000</v>
      </c>
      <c r="L5" s="10">
        <v>2074000</v>
      </c>
      <c r="M5" s="10">
        <v>1347000</v>
      </c>
      <c r="N5" s="10">
        <v>720000</v>
      </c>
      <c r="O5" s="10">
        <v>3250000</v>
      </c>
      <c r="P5" s="10">
        <v>3858000</v>
      </c>
      <c r="Q5" s="10">
        <v>4088000</v>
      </c>
      <c r="R5" s="10">
        <v>6312000</v>
      </c>
      <c r="S5" s="10">
        <v>6552000</v>
      </c>
      <c r="T5" s="10">
        <v>6690000</v>
      </c>
      <c r="U5" s="10"/>
      <c r="V5" s="10">
        <v>36146000</v>
      </c>
    </row>
    <row r="6" spans="1:22" x14ac:dyDescent="0.35">
      <c r="A6" s="19" t="s">
        <v>26</v>
      </c>
      <c r="B6" s="10"/>
      <c r="C6" s="10"/>
      <c r="D6" s="10"/>
      <c r="E6" s="10">
        <v>12405000</v>
      </c>
      <c r="F6" s="10"/>
      <c r="G6" s="10">
        <v>12405000</v>
      </c>
      <c r="J6" s="19" t="s">
        <v>63</v>
      </c>
      <c r="K6" s="10">
        <v>475000</v>
      </c>
      <c r="L6" s="10">
        <v>560000</v>
      </c>
      <c r="M6" s="10">
        <v>1767000</v>
      </c>
      <c r="N6" s="10">
        <v>3376000</v>
      </c>
      <c r="O6" s="10">
        <v>2840000</v>
      </c>
      <c r="P6" s="10">
        <v>2094000</v>
      </c>
      <c r="Q6" s="10">
        <v>5376000</v>
      </c>
      <c r="R6" s="10">
        <v>6816000</v>
      </c>
      <c r="S6" s="10">
        <v>4761000</v>
      </c>
      <c r="T6" s="10">
        <v>3240000</v>
      </c>
      <c r="U6" s="10"/>
      <c r="V6" s="10">
        <v>31305000</v>
      </c>
    </row>
    <row r="7" spans="1:22" x14ac:dyDescent="0.35">
      <c r="A7" s="19" t="s">
        <v>55</v>
      </c>
      <c r="B7" s="10"/>
      <c r="C7" s="10"/>
      <c r="D7" s="10"/>
      <c r="E7" s="10"/>
      <c r="F7" s="10">
        <v>10004000</v>
      </c>
      <c r="G7" s="10">
        <v>10004000</v>
      </c>
      <c r="J7" s="19" t="s">
        <v>33</v>
      </c>
      <c r="K7" s="10">
        <v>244000</v>
      </c>
      <c r="L7" s="10">
        <v>1020000</v>
      </c>
      <c r="M7" s="10">
        <v>2445000</v>
      </c>
      <c r="N7" s="10">
        <v>2520000</v>
      </c>
      <c r="O7" s="10">
        <v>3475000</v>
      </c>
      <c r="P7" s="10">
        <v>1704000</v>
      </c>
      <c r="Q7" s="10">
        <v>4788000</v>
      </c>
      <c r="R7" s="10">
        <v>2200000</v>
      </c>
      <c r="S7" s="10">
        <v>1656000</v>
      </c>
      <c r="T7" s="10">
        <v>7820000</v>
      </c>
      <c r="U7" s="10"/>
      <c r="V7" s="10">
        <v>27872000</v>
      </c>
    </row>
    <row r="8" spans="1:22" x14ac:dyDescent="0.35">
      <c r="A8" s="19" t="s">
        <v>81</v>
      </c>
      <c r="B8" s="10">
        <v>14906000</v>
      </c>
      <c r="C8" s="10"/>
      <c r="D8" s="10"/>
      <c r="E8" s="10"/>
      <c r="F8" s="10"/>
      <c r="G8" s="10">
        <v>14906000</v>
      </c>
      <c r="J8" s="19" t="s">
        <v>117</v>
      </c>
      <c r="K8" s="10">
        <v>533000</v>
      </c>
      <c r="L8" s="10">
        <v>590000</v>
      </c>
      <c r="M8" s="10">
        <v>2550000</v>
      </c>
      <c r="N8" s="10">
        <v>1936000</v>
      </c>
      <c r="O8" s="10">
        <v>3170000</v>
      </c>
      <c r="P8" s="10">
        <v>5370000</v>
      </c>
      <c r="Q8" s="10">
        <v>4123000</v>
      </c>
      <c r="R8" s="10">
        <v>2880000</v>
      </c>
      <c r="S8" s="10">
        <v>4230000</v>
      </c>
      <c r="T8" s="10">
        <v>9630000</v>
      </c>
      <c r="U8" s="10"/>
      <c r="V8" s="10">
        <v>35012000</v>
      </c>
    </row>
    <row r="9" spans="1:22" x14ac:dyDescent="0.35">
      <c r="A9" s="19" t="s">
        <v>37</v>
      </c>
      <c r="B9" s="10"/>
      <c r="C9" s="10">
        <v>4866000</v>
      </c>
      <c r="D9" s="10"/>
      <c r="E9" s="10"/>
      <c r="F9" s="10"/>
      <c r="G9" s="10">
        <v>4866000</v>
      </c>
      <c r="J9" s="19" t="s">
        <v>46</v>
      </c>
      <c r="K9" s="10">
        <v>963000</v>
      </c>
      <c r="L9" s="10">
        <v>628000</v>
      </c>
      <c r="M9" s="10">
        <v>3432000</v>
      </c>
      <c r="N9" s="10">
        <v>1540000</v>
      </c>
      <c r="O9" s="10">
        <v>4910000</v>
      </c>
      <c r="P9" s="10">
        <v>900000</v>
      </c>
      <c r="Q9" s="10">
        <v>700000</v>
      </c>
      <c r="R9" s="10">
        <v>3352000</v>
      </c>
      <c r="S9" s="10">
        <v>3105000</v>
      </c>
      <c r="T9" s="10">
        <v>5390000</v>
      </c>
      <c r="U9" s="10"/>
      <c r="V9" s="10">
        <v>24920000</v>
      </c>
    </row>
    <row r="10" spans="1:22" x14ac:dyDescent="0.35">
      <c r="A10" s="19" t="s">
        <v>30</v>
      </c>
      <c r="B10" s="10">
        <v>16847000</v>
      </c>
      <c r="C10" s="10"/>
      <c r="D10" s="10"/>
      <c r="E10" s="10"/>
      <c r="F10" s="10"/>
      <c r="G10" s="10">
        <v>16847000</v>
      </c>
      <c r="J10" s="19" t="s">
        <v>66</v>
      </c>
      <c r="K10" s="10">
        <v>669000</v>
      </c>
      <c r="L10" s="10">
        <v>588000</v>
      </c>
      <c r="M10" s="10">
        <v>1542000</v>
      </c>
      <c r="N10" s="10">
        <v>1540000</v>
      </c>
      <c r="O10" s="10">
        <v>2025000</v>
      </c>
      <c r="P10" s="10">
        <v>4374000</v>
      </c>
      <c r="Q10" s="10">
        <v>3801000</v>
      </c>
      <c r="R10" s="10">
        <v>4944000</v>
      </c>
      <c r="S10" s="10">
        <v>3726000</v>
      </c>
      <c r="T10" s="10">
        <v>11500000</v>
      </c>
      <c r="U10" s="10"/>
      <c r="V10" s="10">
        <v>34709000</v>
      </c>
    </row>
    <row r="11" spans="1:22" x14ac:dyDescent="0.35">
      <c r="A11" s="19" t="s">
        <v>35</v>
      </c>
      <c r="B11" s="10"/>
      <c r="C11" s="10">
        <v>11386000</v>
      </c>
      <c r="D11" s="10"/>
      <c r="E11" s="10"/>
      <c r="F11" s="10"/>
      <c r="G11" s="10">
        <v>11386000</v>
      </c>
      <c r="J11" s="19" t="s">
        <v>82</v>
      </c>
      <c r="K11" s="10">
        <v>1084000</v>
      </c>
      <c r="L11" s="10">
        <v>520000</v>
      </c>
      <c r="M11" s="10">
        <v>1932000</v>
      </c>
      <c r="N11" s="10">
        <v>2848000</v>
      </c>
      <c r="O11" s="10">
        <v>3495000</v>
      </c>
      <c r="P11" s="10">
        <v>2814000</v>
      </c>
      <c r="Q11" s="10">
        <v>2058000</v>
      </c>
      <c r="R11" s="10">
        <v>4480000</v>
      </c>
      <c r="S11" s="10">
        <v>1341000</v>
      </c>
      <c r="T11" s="10">
        <v>9290000</v>
      </c>
      <c r="U11" s="10"/>
      <c r="V11" s="10">
        <v>29862000</v>
      </c>
    </row>
    <row r="12" spans="1:22" x14ac:dyDescent="0.35">
      <c r="A12" s="19" t="s">
        <v>47</v>
      </c>
      <c r="B12" s="10"/>
      <c r="C12" s="10">
        <v>11983000</v>
      </c>
      <c r="D12" s="10"/>
      <c r="E12" s="10"/>
      <c r="F12" s="10"/>
      <c r="G12" s="10">
        <v>11983000</v>
      </c>
      <c r="J12" s="19" t="s">
        <v>86</v>
      </c>
      <c r="K12" s="10">
        <v>325000</v>
      </c>
      <c r="L12" s="10">
        <v>2458000</v>
      </c>
      <c r="M12" s="10">
        <v>1629000</v>
      </c>
      <c r="N12" s="10">
        <v>3820000</v>
      </c>
      <c r="O12" s="10">
        <v>75000</v>
      </c>
      <c r="P12" s="10">
        <v>3444000</v>
      </c>
      <c r="Q12" s="10">
        <v>7196000</v>
      </c>
      <c r="R12" s="10">
        <v>7184000</v>
      </c>
      <c r="S12" s="10">
        <v>9819000</v>
      </c>
      <c r="T12" s="10">
        <v>1640000</v>
      </c>
      <c r="U12" s="10"/>
      <c r="V12" s="10">
        <v>37590000</v>
      </c>
    </row>
    <row r="13" spans="1:22" x14ac:dyDescent="0.35">
      <c r="A13" s="19" t="s">
        <v>19</v>
      </c>
      <c r="B13" s="10"/>
      <c r="C13" s="10"/>
      <c r="D13" s="10"/>
      <c r="E13" s="10">
        <v>17279000</v>
      </c>
      <c r="F13" s="10"/>
      <c r="G13" s="10">
        <v>17279000</v>
      </c>
      <c r="J13" s="19" t="s">
        <v>148</v>
      </c>
      <c r="K13" s="10">
        <v>624000</v>
      </c>
      <c r="L13" s="10">
        <v>1218000</v>
      </c>
      <c r="M13" s="10">
        <v>2637000</v>
      </c>
      <c r="N13" s="10">
        <v>1836000</v>
      </c>
      <c r="O13" s="10">
        <v>725000</v>
      </c>
      <c r="P13" s="10">
        <v>3798000</v>
      </c>
      <c r="Q13" s="10">
        <v>3031000</v>
      </c>
      <c r="R13" s="10">
        <v>4080000</v>
      </c>
      <c r="S13" s="10">
        <v>6894000</v>
      </c>
      <c r="T13" s="10">
        <v>3350000</v>
      </c>
      <c r="U13" s="10"/>
      <c r="V13" s="10">
        <v>28193000</v>
      </c>
    </row>
    <row r="14" spans="1:22" x14ac:dyDescent="0.35">
      <c r="A14" s="19" t="s">
        <v>57</v>
      </c>
      <c r="B14" s="10"/>
      <c r="C14" s="10"/>
      <c r="D14" s="10"/>
      <c r="E14" s="10">
        <v>9086000</v>
      </c>
      <c r="F14" s="10"/>
      <c r="G14" s="10">
        <v>9086000</v>
      </c>
      <c r="J14" s="19" t="s">
        <v>59</v>
      </c>
      <c r="K14" s="10">
        <v>1388000</v>
      </c>
      <c r="L14" s="10">
        <v>348000</v>
      </c>
      <c r="M14" s="10">
        <v>435000</v>
      </c>
      <c r="N14" s="10">
        <v>1260000</v>
      </c>
      <c r="O14" s="10">
        <v>2275000</v>
      </c>
      <c r="P14" s="10">
        <v>2544000</v>
      </c>
      <c r="Q14" s="10">
        <v>3990000</v>
      </c>
      <c r="R14" s="10">
        <v>2480000</v>
      </c>
      <c r="S14" s="10">
        <v>5526000</v>
      </c>
      <c r="T14" s="10">
        <v>3940000</v>
      </c>
      <c r="U14" s="10"/>
      <c r="V14" s="10">
        <v>24186000</v>
      </c>
    </row>
    <row r="15" spans="1:22" x14ac:dyDescent="0.35">
      <c r="A15" s="19" t="s">
        <v>42</v>
      </c>
      <c r="B15" s="10"/>
      <c r="C15" s="10"/>
      <c r="D15" s="10"/>
      <c r="E15" s="10"/>
      <c r="F15" s="10">
        <v>8782000</v>
      </c>
      <c r="G15" s="10">
        <v>8782000</v>
      </c>
      <c r="J15" s="19" t="s">
        <v>1000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x14ac:dyDescent="0.35">
      <c r="A16" s="19" t="s">
        <v>61</v>
      </c>
      <c r="B16" s="10"/>
      <c r="C16" s="10"/>
      <c r="D16" s="10">
        <v>8787000</v>
      </c>
      <c r="E16" s="10"/>
      <c r="F16" s="10"/>
      <c r="G16" s="10">
        <v>8787000</v>
      </c>
      <c r="J16" s="19" t="s">
        <v>1001</v>
      </c>
      <c r="K16" s="10">
        <v>7560000</v>
      </c>
      <c r="L16" s="10">
        <v>10004000</v>
      </c>
      <c r="M16" s="10">
        <v>19716000</v>
      </c>
      <c r="N16" s="10">
        <v>21396000</v>
      </c>
      <c r="O16" s="10">
        <v>26240000</v>
      </c>
      <c r="P16" s="10">
        <v>30900000</v>
      </c>
      <c r="Q16" s="10">
        <v>39151000</v>
      </c>
      <c r="R16" s="10">
        <v>44728000</v>
      </c>
      <c r="S16" s="10">
        <v>47610000</v>
      </c>
      <c r="T16" s="10">
        <v>62490000</v>
      </c>
      <c r="U16" s="10"/>
      <c r="V16" s="10">
        <v>309795000</v>
      </c>
    </row>
    <row r="17" spans="1:11" x14ac:dyDescent="0.35">
      <c r="A17" s="19" t="s">
        <v>70</v>
      </c>
      <c r="B17" s="10"/>
      <c r="C17" s="10"/>
      <c r="D17" s="10"/>
      <c r="E17" s="10">
        <v>9840000</v>
      </c>
      <c r="F17" s="10"/>
      <c r="G17" s="10">
        <v>9840000</v>
      </c>
    </row>
    <row r="18" spans="1:11" x14ac:dyDescent="0.35">
      <c r="A18" s="19" t="s">
        <v>71</v>
      </c>
      <c r="B18" s="10"/>
      <c r="C18" s="10"/>
      <c r="D18" s="10">
        <v>8231000</v>
      </c>
      <c r="E18" s="10"/>
      <c r="F18" s="10"/>
      <c r="G18" s="10">
        <v>8231000</v>
      </c>
      <c r="J18" s="18" t="s">
        <v>1002</v>
      </c>
      <c r="K18" s="10" t="s">
        <v>1003</v>
      </c>
    </row>
    <row r="19" spans="1:11" x14ac:dyDescent="0.35">
      <c r="A19" s="19" t="s">
        <v>39</v>
      </c>
      <c r="B19" s="10"/>
      <c r="C19" s="10"/>
      <c r="D19" s="10">
        <v>12402000</v>
      </c>
      <c r="E19" s="10"/>
      <c r="F19" s="10"/>
      <c r="G19" s="10">
        <v>12402000</v>
      </c>
      <c r="J19" s="19" t="s">
        <v>1005</v>
      </c>
      <c r="K19" s="10">
        <v>20634000</v>
      </c>
    </row>
    <row r="20" spans="1:11" x14ac:dyDescent="0.35">
      <c r="A20" s="19" t="s">
        <v>41</v>
      </c>
      <c r="B20" s="10">
        <v>16925000</v>
      </c>
      <c r="C20" s="10"/>
      <c r="D20" s="10"/>
      <c r="E20" s="10"/>
      <c r="F20" s="10"/>
      <c r="G20" s="10">
        <v>16925000</v>
      </c>
      <c r="J20" s="19" t="s">
        <v>1011</v>
      </c>
      <c r="K20" s="10">
        <v>22932000</v>
      </c>
    </row>
    <row r="21" spans="1:11" x14ac:dyDescent="0.35">
      <c r="A21" s="19" t="s">
        <v>67</v>
      </c>
      <c r="B21" s="10">
        <v>8821000</v>
      </c>
      <c r="C21" s="10"/>
      <c r="D21" s="10"/>
      <c r="E21" s="10"/>
      <c r="F21" s="10"/>
      <c r="G21" s="10">
        <v>8821000</v>
      </c>
      <c r="J21" s="19" t="s">
        <v>1016</v>
      </c>
      <c r="K21" s="10">
        <v>23285000</v>
      </c>
    </row>
    <row r="22" spans="1:11" x14ac:dyDescent="0.35">
      <c r="A22" s="19" t="s">
        <v>16</v>
      </c>
      <c r="B22" s="10"/>
      <c r="C22" s="10"/>
      <c r="D22" s="10"/>
      <c r="E22" s="10"/>
      <c r="F22" s="10">
        <v>10044000</v>
      </c>
      <c r="G22" s="10">
        <v>10044000</v>
      </c>
      <c r="J22" s="19" t="s">
        <v>1012</v>
      </c>
      <c r="K22" s="10">
        <v>23931000</v>
      </c>
    </row>
    <row r="23" spans="1:11" x14ac:dyDescent="0.35">
      <c r="A23" s="19" t="s">
        <v>73</v>
      </c>
      <c r="B23" s="10"/>
      <c r="C23" s="10"/>
      <c r="D23" s="10"/>
      <c r="E23" s="10"/>
      <c r="F23" s="10">
        <v>9955000</v>
      </c>
      <c r="G23" s="10">
        <v>9955000</v>
      </c>
      <c r="J23" s="19" t="s">
        <v>1006</v>
      </c>
      <c r="K23" s="10">
        <v>15008000</v>
      </c>
    </row>
    <row r="24" spans="1:11" x14ac:dyDescent="0.35">
      <c r="A24" s="19" t="s">
        <v>12</v>
      </c>
      <c r="B24" s="10"/>
      <c r="C24" s="10"/>
      <c r="D24" s="10">
        <v>9722000</v>
      </c>
      <c r="E24" s="10"/>
      <c r="F24" s="10"/>
      <c r="G24" s="10">
        <v>9722000</v>
      </c>
      <c r="J24" s="19" t="s">
        <v>1007</v>
      </c>
      <c r="K24" s="10">
        <v>30269000</v>
      </c>
    </row>
    <row r="25" spans="1:11" x14ac:dyDescent="0.35">
      <c r="A25" s="19" t="s">
        <v>64</v>
      </c>
      <c r="B25" s="10">
        <v>27306000</v>
      </c>
      <c r="C25" s="10"/>
      <c r="D25" s="10"/>
      <c r="E25" s="10"/>
      <c r="F25" s="10"/>
      <c r="G25" s="10">
        <v>27306000</v>
      </c>
      <c r="J25" s="19" t="s">
        <v>1013</v>
      </c>
      <c r="K25" s="10">
        <v>39542000</v>
      </c>
    </row>
    <row r="26" spans="1:11" x14ac:dyDescent="0.35">
      <c r="A26" s="19" t="s">
        <v>50</v>
      </c>
      <c r="B26" s="10"/>
      <c r="C26" s="10"/>
      <c r="D26" s="10">
        <v>17087000</v>
      </c>
      <c r="E26" s="10"/>
      <c r="F26" s="10"/>
      <c r="G26" s="10">
        <v>17087000</v>
      </c>
      <c r="J26" s="19" t="s">
        <v>1008</v>
      </c>
      <c r="K26" s="10">
        <v>31239000</v>
      </c>
    </row>
    <row r="27" spans="1:11" x14ac:dyDescent="0.35">
      <c r="A27" s="19" t="s">
        <v>52</v>
      </c>
      <c r="B27" s="10"/>
      <c r="C27" s="10"/>
      <c r="D27" s="10"/>
      <c r="E27" s="10">
        <v>11811000</v>
      </c>
      <c r="F27" s="10"/>
      <c r="G27" s="10">
        <v>11811000</v>
      </c>
      <c r="J27" s="19" t="s">
        <v>1015</v>
      </c>
      <c r="K27" s="10">
        <v>30649000</v>
      </c>
    </row>
    <row r="28" spans="1:11" x14ac:dyDescent="0.35">
      <c r="A28" s="19" t="s">
        <v>49</v>
      </c>
      <c r="B28" s="10"/>
      <c r="C28" s="10"/>
      <c r="D28" s="10"/>
      <c r="E28" s="10"/>
      <c r="F28" s="10">
        <v>16257000</v>
      </c>
      <c r="G28" s="10">
        <v>16257000</v>
      </c>
      <c r="J28" s="19" t="s">
        <v>1014</v>
      </c>
      <c r="K28" s="10">
        <v>28015000</v>
      </c>
    </row>
    <row r="29" spans="1:11" x14ac:dyDescent="0.35">
      <c r="A29" s="19" t="s">
        <v>77</v>
      </c>
      <c r="B29" s="10"/>
      <c r="C29" s="10">
        <v>12509000</v>
      </c>
      <c r="D29" s="10"/>
      <c r="E29" s="10"/>
      <c r="F29" s="10"/>
      <c r="G29" s="10">
        <v>12509000</v>
      </c>
      <c r="J29" s="19" t="s">
        <v>1009</v>
      </c>
      <c r="K29" s="10">
        <v>22785000</v>
      </c>
    </row>
    <row r="30" spans="1:11" x14ac:dyDescent="0.35">
      <c r="A30" s="19" t="s">
        <v>1001</v>
      </c>
      <c r="B30" s="10">
        <v>84805000</v>
      </c>
      <c r="C30" s="10">
        <v>53298000</v>
      </c>
      <c r="D30" s="10">
        <v>56229000</v>
      </c>
      <c r="E30" s="10">
        <v>60421000</v>
      </c>
      <c r="F30" s="10">
        <v>55042000</v>
      </c>
      <c r="G30" s="10">
        <v>309795000</v>
      </c>
      <c r="J30" s="19" t="s">
        <v>1010</v>
      </c>
      <c r="K30" s="10">
        <v>21506000</v>
      </c>
    </row>
    <row r="31" spans="1:11" x14ac:dyDescent="0.35">
      <c r="J31" s="19" t="s">
        <v>1000</v>
      </c>
      <c r="K31" s="10"/>
    </row>
    <row r="32" spans="1:11" x14ac:dyDescent="0.35">
      <c r="A32" s="18" t="s">
        <v>1003</v>
      </c>
      <c r="B32" s="25" t="s">
        <v>999</v>
      </c>
      <c r="C32" s="10"/>
      <c r="D32" s="10"/>
      <c r="E32" s="10"/>
      <c r="F32" s="10"/>
      <c r="G32" s="10"/>
      <c r="H32" s="10"/>
      <c r="J32" s="19" t="s">
        <v>1001</v>
      </c>
      <c r="K32" s="10">
        <v>309795000</v>
      </c>
    </row>
    <row r="33" spans="1:13" x14ac:dyDescent="0.35">
      <c r="A33" s="18" t="s">
        <v>1002</v>
      </c>
      <c r="B33" s="10" t="s">
        <v>36</v>
      </c>
      <c r="C33" s="10" t="s">
        <v>17</v>
      </c>
      <c r="D33" s="10" t="s">
        <v>40</v>
      </c>
      <c r="E33" s="10" t="s">
        <v>13</v>
      </c>
      <c r="F33" s="10" t="s">
        <v>24</v>
      </c>
      <c r="G33" s="10" t="s">
        <v>1000</v>
      </c>
      <c r="H33" t="s">
        <v>1001</v>
      </c>
    </row>
    <row r="34" spans="1:13" x14ac:dyDescent="0.35">
      <c r="A34" s="19" t="s">
        <v>25</v>
      </c>
      <c r="B34" s="10">
        <v>16900000</v>
      </c>
      <c r="C34" s="10">
        <v>9365000</v>
      </c>
      <c r="D34" s="10">
        <v>6630000</v>
      </c>
      <c r="E34" s="10">
        <v>11276000</v>
      </c>
      <c r="F34" s="10">
        <v>17268000</v>
      </c>
      <c r="G34" s="10"/>
      <c r="H34" s="10">
        <v>61439000</v>
      </c>
    </row>
    <row r="35" spans="1:13" x14ac:dyDescent="0.35">
      <c r="A35" s="19" t="s">
        <v>20</v>
      </c>
      <c r="B35" s="10">
        <v>9750000</v>
      </c>
      <c r="C35" s="10">
        <v>11868000</v>
      </c>
      <c r="D35" s="10">
        <v>8974000</v>
      </c>
      <c r="E35" s="10">
        <v>12669000</v>
      </c>
      <c r="F35" s="10">
        <v>13841000</v>
      </c>
      <c r="G35" s="10"/>
      <c r="H35" s="10">
        <v>57102000</v>
      </c>
    </row>
    <row r="36" spans="1:13" x14ac:dyDescent="0.35">
      <c r="A36" s="19" t="s">
        <v>31</v>
      </c>
      <c r="B36" s="10">
        <v>5455000</v>
      </c>
      <c r="C36" s="10">
        <v>17563000</v>
      </c>
      <c r="D36" s="10">
        <v>9222000</v>
      </c>
      <c r="E36" s="10">
        <v>15604000</v>
      </c>
      <c r="F36" s="10">
        <v>11610000</v>
      </c>
      <c r="G36" s="10"/>
      <c r="H36" s="10">
        <v>59454000</v>
      </c>
    </row>
    <row r="37" spans="1:13" x14ac:dyDescent="0.35">
      <c r="A37" s="19" t="s">
        <v>27</v>
      </c>
      <c r="B37" s="10">
        <v>8335000</v>
      </c>
      <c r="C37" s="10">
        <v>13370000</v>
      </c>
      <c r="D37" s="10">
        <v>17479000</v>
      </c>
      <c r="E37" s="10">
        <v>10947000</v>
      </c>
      <c r="F37" s="10">
        <v>23318000</v>
      </c>
      <c r="G37" s="10"/>
      <c r="H37" s="10">
        <v>73449000</v>
      </c>
    </row>
    <row r="38" spans="1:13" x14ac:dyDescent="0.35">
      <c r="A38" s="19" t="s">
        <v>14</v>
      </c>
      <c r="B38" s="10">
        <v>10197000</v>
      </c>
      <c r="C38" s="10">
        <v>13772000</v>
      </c>
      <c r="D38" s="10">
        <v>10379000</v>
      </c>
      <c r="E38" s="10">
        <v>9353000</v>
      </c>
      <c r="F38" s="10">
        <v>14650000</v>
      </c>
      <c r="G38" s="10"/>
      <c r="H38" s="10">
        <v>58351000</v>
      </c>
    </row>
    <row r="39" spans="1:13" x14ac:dyDescent="0.35">
      <c r="A39" s="19" t="s">
        <v>1000</v>
      </c>
      <c r="B39" s="10"/>
      <c r="C39" s="10"/>
      <c r="D39" s="10"/>
      <c r="E39" s="10"/>
      <c r="F39" s="10"/>
      <c r="G39" s="10"/>
      <c r="H39" s="10"/>
    </row>
    <row r="40" spans="1:13" x14ac:dyDescent="0.35">
      <c r="A40" s="19" t="s">
        <v>1001</v>
      </c>
      <c r="B40" s="10">
        <v>50637000</v>
      </c>
      <c r="C40" s="10">
        <v>65938000</v>
      </c>
      <c r="D40" s="10">
        <v>52684000</v>
      </c>
      <c r="E40" s="10">
        <v>59849000</v>
      </c>
      <c r="F40" s="10">
        <v>80687000</v>
      </c>
      <c r="G40" s="10"/>
      <c r="H40" s="10">
        <v>309795000</v>
      </c>
    </row>
    <row r="42" spans="1:13" x14ac:dyDescent="0.35">
      <c r="A42" s="18" t="s">
        <v>1003</v>
      </c>
      <c r="B42" s="18" t="s">
        <v>999</v>
      </c>
    </row>
    <row r="43" spans="1:13" x14ac:dyDescent="0.35">
      <c r="A43" s="18" t="s">
        <v>1002</v>
      </c>
      <c r="B43" t="s">
        <v>23</v>
      </c>
      <c r="C43" t="s">
        <v>63</v>
      </c>
      <c r="D43" t="s">
        <v>33</v>
      </c>
      <c r="E43" t="s">
        <v>117</v>
      </c>
      <c r="F43" t="s">
        <v>46</v>
      </c>
      <c r="G43" t="s">
        <v>66</v>
      </c>
      <c r="H43" t="s">
        <v>82</v>
      </c>
      <c r="I43" t="s">
        <v>86</v>
      </c>
      <c r="J43" t="s">
        <v>148</v>
      </c>
      <c r="K43" t="s">
        <v>59</v>
      </c>
      <c r="L43" t="s">
        <v>1000</v>
      </c>
      <c r="M43" t="s">
        <v>1001</v>
      </c>
    </row>
    <row r="44" spans="1:13" x14ac:dyDescent="0.35">
      <c r="A44" s="19" t="s">
        <v>29</v>
      </c>
      <c r="B44" s="28">
        <v>5801000</v>
      </c>
      <c r="C44" s="28">
        <v>8144000</v>
      </c>
      <c r="D44" s="28">
        <v>10925000</v>
      </c>
      <c r="E44" s="28">
        <v>11615000</v>
      </c>
      <c r="F44" s="28">
        <v>2745000</v>
      </c>
      <c r="G44" s="28">
        <v>12704000</v>
      </c>
      <c r="H44" s="28">
        <v>6201000</v>
      </c>
      <c r="I44" s="28">
        <v>11745000</v>
      </c>
      <c r="J44" s="28">
        <v>7386000</v>
      </c>
      <c r="K44" s="28">
        <v>7539000</v>
      </c>
      <c r="L44" s="28"/>
      <c r="M44" s="28">
        <v>84805000</v>
      </c>
    </row>
    <row r="45" spans="1:13" x14ac:dyDescent="0.35">
      <c r="A45" s="27" t="s">
        <v>25</v>
      </c>
      <c r="B45" s="28">
        <v>450000</v>
      </c>
      <c r="C45" s="28">
        <v>495000</v>
      </c>
      <c r="D45" s="28">
        <v>1525000</v>
      </c>
      <c r="E45" s="28">
        <v>1960000</v>
      </c>
      <c r="F45" s="28">
        <v>750000</v>
      </c>
      <c r="G45" s="28">
        <v>1850000</v>
      </c>
      <c r="H45" s="28">
        <v>1870000</v>
      </c>
      <c r="I45" s="28">
        <v>2863000</v>
      </c>
      <c r="J45" s="28">
        <v>3361000</v>
      </c>
      <c r="K45" s="28">
        <v>969000</v>
      </c>
      <c r="L45" s="28"/>
      <c r="M45" s="28">
        <v>16093000</v>
      </c>
    </row>
    <row r="46" spans="1:13" x14ac:dyDescent="0.35">
      <c r="A46" s="27" t="s">
        <v>20</v>
      </c>
      <c r="B46" s="28">
        <v>1070000</v>
      </c>
      <c r="C46" s="28">
        <v>3441000</v>
      </c>
      <c r="D46" s="28">
        <v>3440000</v>
      </c>
      <c r="E46" s="28">
        <v>3375000</v>
      </c>
      <c r="F46" s="28"/>
      <c r="G46" s="28">
        <v>1550000</v>
      </c>
      <c r="H46" s="28">
        <v>320000</v>
      </c>
      <c r="I46" s="28">
        <v>2317000</v>
      </c>
      <c r="J46" s="28">
        <v>3000000</v>
      </c>
      <c r="K46" s="28">
        <v>1095000</v>
      </c>
      <c r="L46" s="28"/>
      <c r="M46" s="28">
        <v>19608000</v>
      </c>
    </row>
    <row r="47" spans="1:13" x14ac:dyDescent="0.35">
      <c r="A47" s="27" t="s">
        <v>31</v>
      </c>
      <c r="B47" s="28">
        <v>988000</v>
      </c>
      <c r="C47" s="28">
        <v>1843000</v>
      </c>
      <c r="D47" s="28">
        <v>3330000</v>
      </c>
      <c r="E47" s="28">
        <v>1275000</v>
      </c>
      <c r="F47" s="28">
        <v>990000</v>
      </c>
      <c r="G47" s="28">
        <v>2919000</v>
      </c>
      <c r="H47" s="28">
        <v>1500000</v>
      </c>
      <c r="I47" s="28">
        <v>2171000</v>
      </c>
      <c r="J47" s="28"/>
      <c r="K47" s="28">
        <v>2100000</v>
      </c>
      <c r="L47" s="28"/>
      <c r="M47" s="28">
        <v>17116000</v>
      </c>
    </row>
    <row r="48" spans="1:13" x14ac:dyDescent="0.35">
      <c r="A48" s="27" t="s">
        <v>27</v>
      </c>
      <c r="B48" s="28">
        <v>3248000</v>
      </c>
      <c r="C48" s="28">
        <v>2055000</v>
      </c>
      <c r="D48" s="28">
        <v>855000</v>
      </c>
      <c r="E48" s="28">
        <v>4345000</v>
      </c>
      <c r="F48" s="28">
        <v>825000</v>
      </c>
      <c r="G48" s="28">
        <v>2435000</v>
      </c>
      <c r="H48" s="28">
        <v>2436000</v>
      </c>
      <c r="I48" s="28">
        <v>1800000</v>
      </c>
      <c r="J48" s="28">
        <v>900000</v>
      </c>
      <c r="K48" s="28">
        <v>2385000</v>
      </c>
      <c r="L48" s="28"/>
      <c r="M48" s="28">
        <v>21284000</v>
      </c>
    </row>
    <row r="49" spans="1:13" x14ac:dyDescent="0.35">
      <c r="A49" s="27" t="s">
        <v>14</v>
      </c>
      <c r="B49" s="28">
        <v>45000</v>
      </c>
      <c r="C49" s="28">
        <v>310000</v>
      </c>
      <c r="D49" s="28">
        <v>1775000</v>
      </c>
      <c r="E49" s="28">
        <v>660000</v>
      </c>
      <c r="F49" s="28">
        <v>180000</v>
      </c>
      <c r="G49" s="28">
        <v>3950000</v>
      </c>
      <c r="H49" s="28">
        <v>75000</v>
      </c>
      <c r="I49" s="28">
        <v>2594000</v>
      </c>
      <c r="J49" s="28">
        <v>125000</v>
      </c>
      <c r="K49" s="28">
        <v>990000</v>
      </c>
      <c r="L49" s="28"/>
      <c r="M49" s="28">
        <v>10704000</v>
      </c>
    </row>
    <row r="50" spans="1:13" x14ac:dyDescent="0.35">
      <c r="A50" s="19" t="s">
        <v>34</v>
      </c>
      <c r="B50" s="28">
        <v>5695000</v>
      </c>
      <c r="C50" s="28">
        <v>9790000</v>
      </c>
      <c r="D50" s="28">
        <v>4296000</v>
      </c>
      <c r="E50" s="28">
        <v>5913000</v>
      </c>
      <c r="F50" s="28">
        <v>5433000</v>
      </c>
      <c r="G50" s="28">
        <v>3965000</v>
      </c>
      <c r="H50" s="28">
        <v>1781000</v>
      </c>
      <c r="I50" s="28">
        <v>4365000</v>
      </c>
      <c r="J50" s="28">
        <v>6456000</v>
      </c>
      <c r="K50" s="28">
        <v>5604000</v>
      </c>
      <c r="L50" s="28"/>
      <c r="M50" s="28">
        <v>53298000</v>
      </c>
    </row>
    <row r="51" spans="1:13" x14ac:dyDescent="0.35">
      <c r="A51" s="27" t="s">
        <v>25</v>
      </c>
      <c r="B51" s="28">
        <v>1266000</v>
      </c>
      <c r="C51" s="28">
        <v>3340000</v>
      </c>
      <c r="D51" s="28">
        <v>1851000</v>
      </c>
      <c r="E51" s="28">
        <v>2380000</v>
      </c>
      <c r="F51" s="28">
        <v>995000</v>
      </c>
      <c r="G51" s="28">
        <v>300000</v>
      </c>
      <c r="H51" s="28">
        <v>550000</v>
      </c>
      <c r="I51" s="28">
        <v>1280000</v>
      </c>
      <c r="J51" s="28">
        <v>1843000</v>
      </c>
      <c r="K51" s="28">
        <v>2684000</v>
      </c>
      <c r="L51" s="28"/>
      <c r="M51" s="28">
        <v>16489000</v>
      </c>
    </row>
    <row r="52" spans="1:13" x14ac:dyDescent="0.35">
      <c r="A52" s="27" t="s">
        <v>20</v>
      </c>
      <c r="B52" s="28">
        <v>1900000</v>
      </c>
      <c r="C52" s="28">
        <v>715000</v>
      </c>
      <c r="D52" s="28">
        <v>725000</v>
      </c>
      <c r="E52" s="28">
        <v>135000</v>
      </c>
      <c r="F52" s="28">
        <v>1099000</v>
      </c>
      <c r="G52" s="28">
        <v>2825000</v>
      </c>
      <c r="H52" s="28">
        <v>315000</v>
      </c>
      <c r="I52" s="28">
        <v>140000</v>
      </c>
      <c r="J52" s="28">
        <v>1396000</v>
      </c>
      <c r="K52" s="28">
        <v>670000</v>
      </c>
      <c r="L52" s="28"/>
      <c r="M52" s="28">
        <v>9920000</v>
      </c>
    </row>
    <row r="53" spans="1:13" x14ac:dyDescent="0.35">
      <c r="A53" s="27" t="s">
        <v>31</v>
      </c>
      <c r="B53" s="28"/>
      <c r="C53" s="28">
        <v>4285000</v>
      </c>
      <c r="D53" s="28">
        <v>1310000</v>
      </c>
      <c r="E53" s="28">
        <v>600000</v>
      </c>
      <c r="F53" s="28">
        <v>2547000</v>
      </c>
      <c r="G53" s="28">
        <v>150000</v>
      </c>
      <c r="H53" s="28">
        <v>696000</v>
      </c>
      <c r="I53" s="28">
        <v>1445000</v>
      </c>
      <c r="J53" s="28"/>
      <c r="K53" s="28">
        <v>100000</v>
      </c>
      <c r="L53" s="28"/>
      <c r="M53" s="28">
        <v>11133000</v>
      </c>
    </row>
    <row r="54" spans="1:13" x14ac:dyDescent="0.35">
      <c r="A54" s="27" t="s">
        <v>27</v>
      </c>
      <c r="B54" s="28">
        <v>1750000</v>
      </c>
      <c r="C54" s="28">
        <v>1450000</v>
      </c>
      <c r="D54" s="28">
        <v>50000</v>
      </c>
      <c r="E54" s="28">
        <v>2005000</v>
      </c>
      <c r="F54" s="28">
        <v>792000</v>
      </c>
      <c r="G54" s="28">
        <v>390000</v>
      </c>
      <c r="H54" s="28"/>
      <c r="I54" s="28">
        <v>1500000</v>
      </c>
      <c r="J54" s="28">
        <v>1412000</v>
      </c>
      <c r="K54" s="28">
        <v>765000</v>
      </c>
      <c r="L54" s="28"/>
      <c r="M54" s="28">
        <v>10114000</v>
      </c>
    </row>
    <row r="55" spans="1:13" x14ac:dyDescent="0.35">
      <c r="A55" s="27" t="s">
        <v>14</v>
      </c>
      <c r="B55" s="28">
        <v>779000</v>
      </c>
      <c r="C55" s="28"/>
      <c r="D55" s="28">
        <v>360000</v>
      </c>
      <c r="E55" s="28">
        <v>793000</v>
      </c>
      <c r="F55" s="28"/>
      <c r="G55" s="28">
        <v>300000</v>
      </c>
      <c r="H55" s="28">
        <v>220000</v>
      </c>
      <c r="I55" s="28"/>
      <c r="J55" s="28">
        <v>1805000</v>
      </c>
      <c r="K55" s="28">
        <v>1385000</v>
      </c>
      <c r="L55" s="28"/>
      <c r="M55" s="28">
        <v>5642000</v>
      </c>
    </row>
    <row r="56" spans="1:13" x14ac:dyDescent="0.35">
      <c r="A56" s="19" t="s">
        <v>11</v>
      </c>
      <c r="B56" s="28">
        <v>9549000</v>
      </c>
      <c r="C56" s="28">
        <v>5936000</v>
      </c>
      <c r="D56" s="28">
        <v>2744000</v>
      </c>
      <c r="E56" s="28">
        <v>2930000</v>
      </c>
      <c r="F56" s="28">
        <v>7415000</v>
      </c>
      <c r="G56" s="28">
        <v>9102000</v>
      </c>
      <c r="H56" s="28">
        <v>5340000</v>
      </c>
      <c r="I56" s="28">
        <v>5011000</v>
      </c>
      <c r="J56" s="28">
        <v>5428000</v>
      </c>
      <c r="K56" s="28">
        <v>2774000</v>
      </c>
      <c r="L56" s="28"/>
      <c r="M56" s="28">
        <v>56229000</v>
      </c>
    </row>
    <row r="57" spans="1:13" x14ac:dyDescent="0.35">
      <c r="A57" s="27" t="s">
        <v>25</v>
      </c>
      <c r="B57" s="28">
        <v>1238000</v>
      </c>
      <c r="C57" s="28">
        <v>896000</v>
      </c>
      <c r="D57" s="28">
        <v>754000</v>
      </c>
      <c r="E57" s="28">
        <v>100000</v>
      </c>
      <c r="F57" s="28">
        <v>250000</v>
      </c>
      <c r="G57" s="28">
        <v>395000</v>
      </c>
      <c r="H57" s="28">
        <v>1250000</v>
      </c>
      <c r="I57" s="28">
        <v>597000</v>
      </c>
      <c r="J57" s="28">
        <v>1200000</v>
      </c>
      <c r="K57" s="28">
        <v>629000</v>
      </c>
      <c r="L57" s="28"/>
      <c r="M57" s="28">
        <v>7309000</v>
      </c>
    </row>
    <row r="58" spans="1:13" x14ac:dyDescent="0.35">
      <c r="A58" s="27" t="s">
        <v>20</v>
      </c>
      <c r="B58" s="28">
        <v>2040000</v>
      </c>
      <c r="C58" s="28">
        <v>1958000</v>
      </c>
      <c r="D58" s="28">
        <v>525000</v>
      </c>
      <c r="E58" s="28"/>
      <c r="F58" s="28">
        <v>1200000</v>
      </c>
      <c r="G58" s="28">
        <v>2552000</v>
      </c>
      <c r="H58" s="28">
        <v>2720000</v>
      </c>
      <c r="I58" s="28">
        <v>1650000</v>
      </c>
      <c r="J58" s="28"/>
      <c r="K58" s="28"/>
      <c r="L58" s="28"/>
      <c r="M58" s="28">
        <v>12645000</v>
      </c>
    </row>
    <row r="59" spans="1:13" x14ac:dyDescent="0.35">
      <c r="A59" s="27" t="s">
        <v>31</v>
      </c>
      <c r="B59" s="28">
        <v>1855000</v>
      </c>
      <c r="C59" s="28">
        <v>50000</v>
      </c>
      <c r="D59" s="28">
        <v>1465000</v>
      </c>
      <c r="E59" s="28">
        <v>925000</v>
      </c>
      <c r="F59" s="28">
        <v>345000</v>
      </c>
      <c r="G59" s="28">
        <v>295000</v>
      </c>
      <c r="H59" s="28"/>
      <c r="I59" s="28">
        <v>773000</v>
      </c>
      <c r="J59" s="28">
        <v>1947000</v>
      </c>
      <c r="K59" s="28">
        <v>1485000</v>
      </c>
      <c r="L59" s="28"/>
      <c r="M59" s="28">
        <v>9140000</v>
      </c>
    </row>
    <row r="60" spans="1:13" x14ac:dyDescent="0.35">
      <c r="A60" s="27" t="s">
        <v>27</v>
      </c>
      <c r="B60" s="28">
        <v>425000</v>
      </c>
      <c r="C60" s="28">
        <v>2277000</v>
      </c>
      <c r="D60" s="28"/>
      <c r="E60" s="28">
        <v>1605000</v>
      </c>
      <c r="F60" s="28">
        <v>2470000</v>
      </c>
      <c r="G60" s="28">
        <v>3385000</v>
      </c>
      <c r="H60" s="28">
        <v>1095000</v>
      </c>
      <c r="I60" s="28">
        <v>750000</v>
      </c>
      <c r="J60" s="28">
        <v>1390000</v>
      </c>
      <c r="K60" s="28"/>
      <c r="L60" s="28"/>
      <c r="M60" s="28">
        <v>13397000</v>
      </c>
    </row>
    <row r="61" spans="1:13" x14ac:dyDescent="0.35">
      <c r="A61" s="27" t="s">
        <v>14</v>
      </c>
      <c r="B61" s="28">
        <v>3991000</v>
      </c>
      <c r="C61" s="28">
        <v>755000</v>
      </c>
      <c r="D61" s="28"/>
      <c r="E61" s="28">
        <v>300000</v>
      </c>
      <c r="F61" s="28">
        <v>3150000</v>
      </c>
      <c r="G61" s="28">
        <v>2475000</v>
      </c>
      <c r="H61" s="28">
        <v>275000</v>
      </c>
      <c r="I61" s="28">
        <v>1241000</v>
      </c>
      <c r="J61" s="28">
        <v>891000</v>
      </c>
      <c r="K61" s="28">
        <v>660000</v>
      </c>
      <c r="L61" s="28"/>
      <c r="M61" s="28">
        <v>13738000</v>
      </c>
    </row>
    <row r="62" spans="1:13" x14ac:dyDescent="0.35">
      <c r="A62" s="19" t="s">
        <v>18</v>
      </c>
      <c r="B62" s="28">
        <v>6202000</v>
      </c>
      <c r="C62" s="28">
        <v>6415000</v>
      </c>
      <c r="D62" s="28">
        <v>3378000</v>
      </c>
      <c r="E62" s="28">
        <v>8700000</v>
      </c>
      <c r="F62" s="28">
        <v>4237000</v>
      </c>
      <c r="G62" s="28">
        <v>3734000</v>
      </c>
      <c r="H62" s="28">
        <v>8026000</v>
      </c>
      <c r="I62" s="28">
        <v>11572000</v>
      </c>
      <c r="J62" s="28">
        <v>3223000</v>
      </c>
      <c r="K62" s="28">
        <v>4934000</v>
      </c>
      <c r="L62" s="28"/>
      <c r="M62" s="28">
        <v>60421000</v>
      </c>
    </row>
    <row r="63" spans="1:13" x14ac:dyDescent="0.35">
      <c r="A63" s="27" t="s">
        <v>25</v>
      </c>
      <c r="B63" s="28">
        <v>1360000</v>
      </c>
      <c r="C63" s="28">
        <v>1370000</v>
      </c>
      <c r="D63" s="28">
        <v>1500000</v>
      </c>
      <c r="E63" s="28">
        <v>1395000</v>
      </c>
      <c r="F63" s="28">
        <v>405000</v>
      </c>
      <c r="G63" s="28">
        <v>105000</v>
      </c>
      <c r="H63" s="28">
        <v>856000</v>
      </c>
      <c r="I63" s="28">
        <v>3422000</v>
      </c>
      <c r="J63" s="28">
        <v>985000</v>
      </c>
      <c r="K63" s="28">
        <v>1698000</v>
      </c>
      <c r="L63" s="28"/>
      <c r="M63" s="28">
        <v>13096000</v>
      </c>
    </row>
    <row r="64" spans="1:13" x14ac:dyDescent="0.35">
      <c r="A64" s="27" t="s">
        <v>20</v>
      </c>
      <c r="B64" s="28">
        <v>1009000</v>
      </c>
      <c r="C64" s="28">
        <v>830000</v>
      </c>
      <c r="D64" s="28">
        <v>1498000</v>
      </c>
      <c r="E64" s="28">
        <v>1550000</v>
      </c>
      <c r="F64" s="28">
        <v>1620000</v>
      </c>
      <c r="G64" s="28">
        <v>90000</v>
      </c>
      <c r="H64" s="28">
        <v>2140000</v>
      </c>
      <c r="I64" s="28">
        <v>845000</v>
      </c>
      <c r="J64" s="28">
        <v>1101000</v>
      </c>
      <c r="K64" s="28">
        <v>250000</v>
      </c>
      <c r="L64" s="28"/>
      <c r="M64" s="28">
        <v>10933000</v>
      </c>
    </row>
    <row r="65" spans="1:13" x14ac:dyDescent="0.35">
      <c r="A65" s="27" t="s">
        <v>31</v>
      </c>
      <c r="B65" s="28">
        <v>1513000</v>
      </c>
      <c r="C65" s="28">
        <v>225000</v>
      </c>
      <c r="D65" s="28">
        <v>230000</v>
      </c>
      <c r="E65" s="28">
        <v>150000</v>
      </c>
      <c r="F65" s="28">
        <v>225000</v>
      </c>
      <c r="G65" s="28">
        <v>1584000</v>
      </c>
      <c r="H65" s="28">
        <v>2577000</v>
      </c>
      <c r="I65" s="28">
        <v>5562000</v>
      </c>
      <c r="J65" s="28">
        <v>923000</v>
      </c>
      <c r="K65" s="28"/>
      <c r="L65" s="28"/>
      <c r="M65" s="28">
        <v>12989000</v>
      </c>
    </row>
    <row r="66" spans="1:13" x14ac:dyDescent="0.35">
      <c r="A66" s="27" t="s">
        <v>27</v>
      </c>
      <c r="B66" s="28">
        <v>900000</v>
      </c>
      <c r="C66" s="28">
        <v>365000</v>
      </c>
      <c r="D66" s="28"/>
      <c r="E66" s="28">
        <v>135000</v>
      </c>
      <c r="F66" s="28">
        <v>1098000</v>
      </c>
      <c r="G66" s="28">
        <v>1655000</v>
      </c>
      <c r="H66" s="28">
        <v>2178000</v>
      </c>
      <c r="I66" s="28">
        <v>1743000</v>
      </c>
      <c r="J66" s="28">
        <v>90000</v>
      </c>
      <c r="K66" s="28">
        <v>1570000</v>
      </c>
      <c r="L66" s="28"/>
      <c r="M66" s="28">
        <v>9734000</v>
      </c>
    </row>
    <row r="67" spans="1:13" x14ac:dyDescent="0.35">
      <c r="A67" s="27" t="s">
        <v>14</v>
      </c>
      <c r="B67" s="28">
        <v>1420000</v>
      </c>
      <c r="C67" s="28">
        <v>3625000</v>
      </c>
      <c r="D67" s="28">
        <v>150000</v>
      </c>
      <c r="E67" s="28">
        <v>5470000</v>
      </c>
      <c r="F67" s="28">
        <v>889000</v>
      </c>
      <c r="G67" s="28">
        <v>300000</v>
      </c>
      <c r="H67" s="28">
        <v>275000</v>
      </c>
      <c r="I67" s="28"/>
      <c r="J67" s="28">
        <v>124000</v>
      </c>
      <c r="K67" s="28">
        <v>1416000</v>
      </c>
      <c r="L67" s="28"/>
      <c r="M67" s="28">
        <v>13669000</v>
      </c>
    </row>
    <row r="68" spans="1:13" x14ac:dyDescent="0.35">
      <c r="A68" s="19" t="s">
        <v>15</v>
      </c>
      <c r="B68" s="28">
        <v>8899000</v>
      </c>
      <c r="C68" s="28">
        <v>1020000</v>
      </c>
      <c r="D68" s="28">
        <v>6529000</v>
      </c>
      <c r="E68" s="28">
        <v>5854000</v>
      </c>
      <c r="F68" s="28">
        <v>5090000</v>
      </c>
      <c r="G68" s="28">
        <v>5204000</v>
      </c>
      <c r="H68" s="28">
        <v>8514000</v>
      </c>
      <c r="I68" s="28">
        <v>4897000</v>
      </c>
      <c r="J68" s="28">
        <v>5700000</v>
      </c>
      <c r="K68" s="28">
        <v>3335000</v>
      </c>
      <c r="L68" s="28"/>
      <c r="M68" s="28">
        <v>55042000</v>
      </c>
    </row>
    <row r="69" spans="1:13" x14ac:dyDescent="0.35">
      <c r="A69" s="27" t="s">
        <v>25</v>
      </c>
      <c r="B69" s="28">
        <v>3647000</v>
      </c>
      <c r="C69" s="28"/>
      <c r="D69" s="28">
        <v>250000</v>
      </c>
      <c r="E69" s="28">
        <v>1710000</v>
      </c>
      <c r="F69" s="28">
        <v>520000</v>
      </c>
      <c r="G69" s="28">
        <v>270000</v>
      </c>
      <c r="H69" s="28">
        <v>970000</v>
      </c>
      <c r="I69" s="28">
        <v>335000</v>
      </c>
      <c r="J69" s="28">
        <v>750000</v>
      </c>
      <c r="K69" s="28"/>
      <c r="L69" s="28"/>
      <c r="M69" s="28">
        <v>8452000</v>
      </c>
    </row>
    <row r="70" spans="1:13" x14ac:dyDescent="0.35">
      <c r="A70" s="27" t="s">
        <v>20</v>
      </c>
      <c r="B70" s="28">
        <v>930000</v>
      </c>
      <c r="C70" s="28"/>
      <c r="D70" s="28">
        <v>850000</v>
      </c>
      <c r="E70" s="28"/>
      <c r="F70" s="28">
        <v>120000</v>
      </c>
      <c r="G70" s="28">
        <v>671000</v>
      </c>
      <c r="H70" s="28">
        <v>300000</v>
      </c>
      <c r="I70" s="28">
        <v>540000</v>
      </c>
      <c r="J70" s="28">
        <v>450000</v>
      </c>
      <c r="K70" s="28">
        <v>135000</v>
      </c>
      <c r="L70" s="28"/>
      <c r="M70" s="28">
        <v>3996000</v>
      </c>
    </row>
    <row r="71" spans="1:13" x14ac:dyDescent="0.35">
      <c r="A71" s="27" t="s">
        <v>31</v>
      </c>
      <c r="B71" s="28">
        <v>2950000</v>
      </c>
      <c r="C71" s="28">
        <v>25000</v>
      </c>
      <c r="D71" s="28">
        <v>2200000</v>
      </c>
      <c r="E71" s="28">
        <v>349000</v>
      </c>
      <c r="F71" s="28"/>
      <c r="G71" s="28"/>
      <c r="H71" s="28">
        <v>585000</v>
      </c>
      <c r="I71" s="28">
        <v>2407000</v>
      </c>
      <c r="J71" s="28">
        <v>210000</v>
      </c>
      <c r="K71" s="28">
        <v>350000</v>
      </c>
      <c r="L71" s="28"/>
      <c r="M71" s="28">
        <v>9076000</v>
      </c>
    </row>
    <row r="72" spans="1:13" x14ac:dyDescent="0.35">
      <c r="A72" s="27" t="s">
        <v>27</v>
      </c>
      <c r="B72" s="28">
        <v>1122000</v>
      </c>
      <c r="C72" s="28"/>
      <c r="D72" s="28">
        <v>2605000</v>
      </c>
      <c r="E72" s="28">
        <v>1485000</v>
      </c>
      <c r="F72" s="28">
        <v>3195000</v>
      </c>
      <c r="G72" s="28">
        <v>4263000</v>
      </c>
      <c r="H72" s="28">
        <v>370000</v>
      </c>
      <c r="I72" s="28">
        <v>140000</v>
      </c>
      <c r="J72" s="28">
        <v>3240000</v>
      </c>
      <c r="K72" s="28">
        <v>2500000</v>
      </c>
      <c r="L72" s="28"/>
      <c r="M72" s="28">
        <v>18920000</v>
      </c>
    </row>
    <row r="73" spans="1:13" x14ac:dyDescent="0.35">
      <c r="A73" s="27" t="s">
        <v>14</v>
      </c>
      <c r="B73" s="28">
        <v>250000</v>
      </c>
      <c r="C73" s="28">
        <v>995000</v>
      </c>
      <c r="D73" s="28">
        <v>624000</v>
      </c>
      <c r="E73" s="28">
        <v>2310000</v>
      </c>
      <c r="F73" s="28">
        <v>1255000</v>
      </c>
      <c r="G73" s="28"/>
      <c r="H73" s="28">
        <v>6289000</v>
      </c>
      <c r="I73" s="28">
        <v>1475000</v>
      </c>
      <c r="J73" s="28">
        <v>1050000</v>
      </c>
      <c r="K73" s="28">
        <v>350000</v>
      </c>
      <c r="L73" s="28"/>
      <c r="M73" s="28">
        <v>14598000</v>
      </c>
    </row>
    <row r="74" spans="1:13" x14ac:dyDescent="0.35">
      <c r="A74" s="19" t="s">
        <v>1000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</row>
    <row r="75" spans="1:13" x14ac:dyDescent="0.35">
      <c r="A75" s="27" t="s">
        <v>1000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</row>
    <row r="76" spans="1:13" x14ac:dyDescent="0.35">
      <c r="A76" s="19" t="s">
        <v>1001</v>
      </c>
      <c r="B76" s="28">
        <v>36146000</v>
      </c>
      <c r="C76" s="28">
        <v>31305000</v>
      </c>
      <c r="D76" s="28">
        <v>27872000</v>
      </c>
      <c r="E76" s="28">
        <v>35012000</v>
      </c>
      <c r="F76" s="28">
        <v>24920000</v>
      </c>
      <c r="G76" s="28">
        <v>34709000</v>
      </c>
      <c r="H76" s="28">
        <v>29862000</v>
      </c>
      <c r="I76" s="28">
        <v>37590000</v>
      </c>
      <c r="J76" s="28">
        <v>28193000</v>
      </c>
      <c r="K76" s="28">
        <v>24186000</v>
      </c>
      <c r="L76" s="28"/>
      <c r="M76" s="28">
        <v>309795000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B5BA-DD58-4170-B7F1-80DBEDA0B359}">
  <dimension ref="A3:I31"/>
  <sheetViews>
    <sheetView tabSelected="1" zoomScale="89" zoomScaleNormal="89" workbookViewId="0">
      <selection activeCell="B6" sqref="B6"/>
    </sheetView>
  </sheetViews>
  <sheetFormatPr defaultRowHeight="14.5" x14ac:dyDescent="0.35"/>
  <cols>
    <col min="1" max="1" width="13.08984375" bestFit="1" customWidth="1"/>
    <col min="2" max="2" width="18" bestFit="1" customWidth="1"/>
    <col min="3" max="6" width="18.6328125" bestFit="1" customWidth="1"/>
    <col min="7" max="7" width="6.90625" bestFit="1" customWidth="1"/>
    <col min="8" max="8" width="13.08984375" bestFit="1" customWidth="1"/>
    <col min="9" max="9" width="18" bestFit="1" customWidth="1"/>
  </cols>
  <sheetData>
    <row r="3" spans="1:9" x14ac:dyDescent="0.35">
      <c r="A3" s="18" t="s">
        <v>1002</v>
      </c>
      <c r="B3" t="s">
        <v>1003</v>
      </c>
    </row>
    <row r="4" spans="1:9" x14ac:dyDescent="0.35">
      <c r="A4" s="19" t="s">
        <v>29</v>
      </c>
      <c r="B4" s="10">
        <v>84805000</v>
      </c>
    </row>
    <row r="5" spans="1:9" x14ac:dyDescent="0.35">
      <c r="A5" s="19" t="s">
        <v>34</v>
      </c>
      <c r="B5" s="10">
        <v>53298000</v>
      </c>
    </row>
    <row r="6" spans="1:9" x14ac:dyDescent="0.35">
      <c r="A6" s="19" t="s">
        <v>11</v>
      </c>
      <c r="B6" s="10">
        <v>56229000</v>
      </c>
    </row>
    <row r="7" spans="1:9" x14ac:dyDescent="0.35">
      <c r="A7" s="19" t="s">
        <v>18</v>
      </c>
      <c r="B7" s="10">
        <v>60421000</v>
      </c>
    </row>
    <row r="8" spans="1:9" x14ac:dyDescent="0.35">
      <c r="A8" s="19" t="s">
        <v>15</v>
      </c>
      <c r="B8" s="10">
        <v>55042000</v>
      </c>
    </row>
    <row r="9" spans="1:9" x14ac:dyDescent="0.35">
      <c r="A9" s="19" t="s">
        <v>1001</v>
      </c>
      <c r="B9" s="10">
        <v>309795000</v>
      </c>
    </row>
    <row r="11" spans="1:9" x14ac:dyDescent="0.35">
      <c r="H11" s="18" t="s">
        <v>1002</v>
      </c>
      <c r="I11" t="s">
        <v>1003</v>
      </c>
    </row>
    <row r="12" spans="1:9" x14ac:dyDescent="0.35">
      <c r="H12" s="19" t="s">
        <v>36</v>
      </c>
      <c r="I12" s="10">
        <v>50637000</v>
      </c>
    </row>
    <row r="13" spans="1:9" x14ac:dyDescent="0.35">
      <c r="B13" s="10"/>
      <c r="H13" s="19" t="s">
        <v>17</v>
      </c>
      <c r="I13" s="10">
        <v>65938000</v>
      </c>
    </row>
    <row r="14" spans="1:9" x14ac:dyDescent="0.35">
      <c r="H14" s="19" t="s">
        <v>40</v>
      </c>
      <c r="I14" s="10">
        <v>52684000</v>
      </c>
    </row>
    <row r="15" spans="1:9" x14ac:dyDescent="0.35">
      <c r="H15" s="19" t="s">
        <v>13</v>
      </c>
      <c r="I15" s="10">
        <v>59849000</v>
      </c>
    </row>
    <row r="16" spans="1:9" x14ac:dyDescent="0.35">
      <c r="H16" s="19" t="s">
        <v>24</v>
      </c>
      <c r="I16" s="10">
        <v>80687000</v>
      </c>
    </row>
    <row r="17" spans="1:9" x14ac:dyDescent="0.35">
      <c r="H17" s="19" t="s">
        <v>1001</v>
      </c>
      <c r="I17" s="10">
        <v>309795000</v>
      </c>
    </row>
    <row r="18" spans="1:9" x14ac:dyDescent="0.35">
      <c r="A18" s="18" t="s">
        <v>1002</v>
      </c>
      <c r="B18" t="s">
        <v>1003</v>
      </c>
    </row>
    <row r="19" spans="1:9" x14ac:dyDescent="0.35">
      <c r="A19" s="19" t="s">
        <v>1005</v>
      </c>
      <c r="B19" s="10">
        <v>20634000</v>
      </c>
    </row>
    <row r="20" spans="1:9" x14ac:dyDescent="0.35">
      <c r="A20" s="19" t="s">
        <v>1011</v>
      </c>
      <c r="B20" s="10">
        <v>22932000</v>
      </c>
    </row>
    <row r="21" spans="1:9" x14ac:dyDescent="0.35">
      <c r="A21" s="19" t="s">
        <v>1016</v>
      </c>
      <c r="B21" s="10">
        <v>23285000</v>
      </c>
    </row>
    <row r="22" spans="1:9" x14ac:dyDescent="0.35">
      <c r="A22" s="19" t="s">
        <v>1012</v>
      </c>
      <c r="B22" s="10">
        <v>23931000</v>
      </c>
    </row>
    <row r="23" spans="1:9" x14ac:dyDescent="0.35">
      <c r="A23" s="19" t="s">
        <v>1006</v>
      </c>
      <c r="B23" s="10">
        <v>15008000</v>
      </c>
    </row>
    <row r="24" spans="1:9" x14ac:dyDescent="0.35">
      <c r="A24" s="19" t="s">
        <v>1007</v>
      </c>
      <c r="B24" s="10">
        <v>30269000</v>
      </c>
    </row>
    <row r="25" spans="1:9" x14ac:dyDescent="0.35">
      <c r="A25" s="19" t="s">
        <v>1013</v>
      </c>
      <c r="B25" s="10">
        <v>39542000</v>
      </c>
    </row>
    <row r="26" spans="1:9" x14ac:dyDescent="0.35">
      <c r="A26" s="19" t="s">
        <v>1008</v>
      </c>
      <c r="B26" s="10">
        <v>31239000</v>
      </c>
    </row>
    <row r="27" spans="1:9" x14ac:dyDescent="0.35">
      <c r="A27" s="19" t="s">
        <v>1015</v>
      </c>
      <c r="B27" s="10">
        <v>30649000</v>
      </c>
    </row>
    <row r="28" spans="1:9" x14ac:dyDescent="0.35">
      <c r="A28" s="19" t="s">
        <v>1014</v>
      </c>
      <c r="B28" s="10">
        <v>28015000</v>
      </c>
    </row>
    <row r="29" spans="1:9" x14ac:dyDescent="0.35">
      <c r="A29" s="19" t="s">
        <v>1009</v>
      </c>
      <c r="B29" s="10">
        <v>22785000</v>
      </c>
    </row>
    <row r="30" spans="1:9" x14ac:dyDescent="0.35">
      <c r="A30" s="19" t="s">
        <v>1010</v>
      </c>
      <c r="B30" s="10">
        <v>21506000</v>
      </c>
    </row>
    <row r="31" spans="1:9" x14ac:dyDescent="0.35">
      <c r="A31" s="19" t="s">
        <v>1001</v>
      </c>
      <c r="B31" s="10">
        <v>309795000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623B-B4AD-42AA-B39F-CB5C13DAC06F}">
  <dimension ref="A3:AA134"/>
  <sheetViews>
    <sheetView topLeftCell="A31" workbookViewId="0">
      <selection activeCell="D50" sqref="D50"/>
    </sheetView>
  </sheetViews>
  <sheetFormatPr defaultRowHeight="14.5" x14ac:dyDescent="0.35"/>
  <cols>
    <col min="1" max="1" width="19.7265625" bestFit="1" customWidth="1"/>
    <col min="2" max="2" width="15.26953125" bestFit="1" customWidth="1"/>
    <col min="3" max="3" width="7.81640625" bestFit="1" customWidth="1"/>
    <col min="4" max="4" width="6" bestFit="1" customWidth="1"/>
    <col min="5" max="5" width="4.7265625" bestFit="1" customWidth="1"/>
    <col min="6" max="6" width="4" bestFit="1" customWidth="1"/>
    <col min="7" max="7" width="4.08984375" bestFit="1" customWidth="1"/>
    <col min="8" max="8" width="3.81640625" bestFit="1" customWidth="1"/>
    <col min="9" max="9" width="7.453125" bestFit="1" customWidth="1"/>
    <col min="10" max="10" width="10" bestFit="1" customWidth="1"/>
    <col min="11" max="11" width="7.81640625" bestFit="1" customWidth="1"/>
    <col min="12" max="12" width="9.54296875" bestFit="1" customWidth="1"/>
    <col min="13" max="13" width="9.36328125" bestFit="1" customWidth="1"/>
    <col min="14" max="14" width="10.7265625" bestFit="1" customWidth="1"/>
    <col min="15" max="15" width="66.08984375" bestFit="1" customWidth="1"/>
    <col min="16" max="26" width="19.90625" bestFit="1" customWidth="1"/>
    <col min="27" max="27" width="10.7265625" bestFit="1" customWidth="1"/>
  </cols>
  <sheetData>
    <row r="3" spans="1:16" x14ac:dyDescent="0.35">
      <c r="A3" s="18" t="s">
        <v>1019</v>
      </c>
      <c r="B3" s="18" t="s">
        <v>999</v>
      </c>
    </row>
    <row r="4" spans="1:16" x14ac:dyDescent="0.35">
      <c r="A4" s="18" t="s">
        <v>1002</v>
      </c>
      <c r="B4" t="s">
        <v>1005</v>
      </c>
      <c r="C4" t="s">
        <v>1011</v>
      </c>
      <c r="D4" t="s">
        <v>1016</v>
      </c>
      <c r="E4" t="s">
        <v>1012</v>
      </c>
      <c r="F4" t="s">
        <v>1006</v>
      </c>
      <c r="G4" t="s">
        <v>1007</v>
      </c>
      <c r="H4" t="s">
        <v>1013</v>
      </c>
      <c r="I4" t="s">
        <v>1008</v>
      </c>
      <c r="J4" t="s">
        <v>1015</v>
      </c>
      <c r="K4" t="s">
        <v>1014</v>
      </c>
      <c r="L4" t="s">
        <v>1009</v>
      </c>
      <c r="M4" t="s">
        <v>1010</v>
      </c>
      <c r="N4" t="s">
        <v>1001</v>
      </c>
      <c r="O4" t="s">
        <v>1020</v>
      </c>
    </row>
    <row r="5" spans="1:16" x14ac:dyDescent="0.35">
      <c r="A5" s="19" t="s">
        <v>12</v>
      </c>
      <c r="B5" s="29">
        <v>20</v>
      </c>
      <c r="C5" s="29">
        <v>4</v>
      </c>
      <c r="D5" s="29"/>
      <c r="E5" s="29">
        <v>10</v>
      </c>
      <c r="F5" s="29">
        <v>13</v>
      </c>
      <c r="G5" s="29"/>
      <c r="H5" s="29">
        <v>7</v>
      </c>
      <c r="I5" s="29"/>
      <c r="J5" s="29">
        <v>7</v>
      </c>
      <c r="K5" s="29">
        <v>8</v>
      </c>
      <c r="L5" s="29">
        <v>11</v>
      </c>
      <c r="M5" s="29">
        <v>34</v>
      </c>
      <c r="N5" s="29">
        <v>114</v>
      </c>
      <c r="O5" t="s">
        <v>1005</v>
      </c>
      <c r="P5" t="s">
        <v>50</v>
      </c>
    </row>
    <row r="6" spans="1:16" x14ac:dyDescent="0.35">
      <c r="A6" s="19" t="s">
        <v>55</v>
      </c>
      <c r="B6" s="29">
        <v>5</v>
      </c>
      <c r="C6" s="29">
        <v>2</v>
      </c>
      <c r="D6" s="29">
        <v>7</v>
      </c>
      <c r="E6" s="29">
        <v>7</v>
      </c>
      <c r="F6" s="29">
        <v>7</v>
      </c>
      <c r="G6" s="29">
        <v>7</v>
      </c>
      <c r="H6" s="29">
        <v>11</v>
      </c>
      <c r="I6" s="29">
        <v>2</v>
      </c>
      <c r="J6" s="29">
        <v>1</v>
      </c>
      <c r="K6" s="29">
        <v>6</v>
      </c>
      <c r="L6" s="29"/>
      <c r="M6" s="29">
        <v>28</v>
      </c>
      <c r="N6" s="29">
        <v>83</v>
      </c>
      <c r="O6" t="s">
        <v>1011</v>
      </c>
      <c r="P6" t="s">
        <v>70</v>
      </c>
    </row>
    <row r="7" spans="1:16" x14ac:dyDescent="0.35">
      <c r="A7" s="19" t="s">
        <v>49</v>
      </c>
      <c r="B7" s="29">
        <v>18</v>
      </c>
      <c r="C7" s="29">
        <v>9</v>
      </c>
      <c r="D7" s="29">
        <v>11</v>
      </c>
      <c r="E7" s="29">
        <v>9</v>
      </c>
      <c r="F7" s="29"/>
      <c r="G7" s="29"/>
      <c r="H7" s="29">
        <v>20</v>
      </c>
      <c r="I7" s="29"/>
      <c r="J7" s="29">
        <v>20</v>
      </c>
      <c r="K7" s="29">
        <v>28</v>
      </c>
      <c r="L7" s="29">
        <v>19</v>
      </c>
      <c r="M7" s="29">
        <v>24</v>
      </c>
      <c r="N7" s="29">
        <v>158</v>
      </c>
      <c r="O7" t="s">
        <v>1016</v>
      </c>
      <c r="P7" t="s">
        <v>64</v>
      </c>
    </row>
    <row r="8" spans="1:16" x14ac:dyDescent="0.35">
      <c r="A8" s="19" t="s">
        <v>19</v>
      </c>
      <c r="B8" s="29">
        <v>5</v>
      </c>
      <c r="C8" s="29">
        <v>9</v>
      </c>
      <c r="D8" s="29"/>
      <c r="E8" s="29">
        <v>1</v>
      </c>
      <c r="F8" s="29">
        <v>7</v>
      </c>
      <c r="G8" s="29">
        <v>29</v>
      </c>
      <c r="H8" s="29">
        <v>38</v>
      </c>
      <c r="I8" s="29">
        <v>31</v>
      </c>
      <c r="J8" s="29">
        <v>27</v>
      </c>
      <c r="K8" s="29">
        <v>6</v>
      </c>
      <c r="L8" s="29">
        <v>9</v>
      </c>
      <c r="M8" s="29">
        <v>21</v>
      </c>
      <c r="N8" s="29">
        <v>183</v>
      </c>
      <c r="O8" t="s">
        <v>1012</v>
      </c>
      <c r="P8" t="s">
        <v>35</v>
      </c>
    </row>
    <row r="9" spans="1:16" x14ac:dyDescent="0.35">
      <c r="A9" s="19" t="s">
        <v>39</v>
      </c>
      <c r="B9" s="29">
        <v>10</v>
      </c>
      <c r="C9" s="29">
        <v>11</v>
      </c>
      <c r="D9" s="29">
        <v>6</v>
      </c>
      <c r="E9" s="29">
        <v>3</v>
      </c>
      <c r="F9" s="29">
        <v>1</v>
      </c>
      <c r="G9" s="29"/>
      <c r="H9" s="29">
        <v>17</v>
      </c>
      <c r="I9" s="29">
        <v>17</v>
      </c>
      <c r="J9" s="29">
        <v>6</v>
      </c>
      <c r="K9" s="29">
        <v>8</v>
      </c>
      <c r="L9" s="29"/>
      <c r="M9" s="29">
        <v>18</v>
      </c>
      <c r="N9" s="29">
        <v>97</v>
      </c>
      <c r="O9" t="s">
        <v>1006</v>
      </c>
      <c r="P9" t="s">
        <v>50</v>
      </c>
    </row>
    <row r="10" spans="1:16" x14ac:dyDescent="0.35">
      <c r="A10" s="19" t="s">
        <v>52</v>
      </c>
      <c r="B10" s="29">
        <v>4</v>
      </c>
      <c r="C10" s="29">
        <v>9</v>
      </c>
      <c r="D10" s="29">
        <v>20</v>
      </c>
      <c r="E10" s="29">
        <v>1</v>
      </c>
      <c r="F10" s="29">
        <v>4</v>
      </c>
      <c r="G10" s="29">
        <v>14</v>
      </c>
      <c r="H10" s="29">
        <v>33</v>
      </c>
      <c r="I10" s="29">
        <v>17</v>
      </c>
      <c r="J10" s="29">
        <v>10</v>
      </c>
      <c r="K10" s="29">
        <v>5</v>
      </c>
      <c r="L10" s="29">
        <v>9</v>
      </c>
      <c r="M10" s="29">
        <v>16</v>
      </c>
      <c r="N10" s="29">
        <v>142</v>
      </c>
      <c r="O10" t="s">
        <v>1007</v>
      </c>
      <c r="P10" t="s">
        <v>45</v>
      </c>
    </row>
    <row r="11" spans="1:16" x14ac:dyDescent="0.35">
      <c r="A11" s="19" t="s">
        <v>77</v>
      </c>
      <c r="B11" s="29">
        <v>19</v>
      </c>
      <c r="C11" s="29">
        <v>25</v>
      </c>
      <c r="D11" s="29">
        <v>8</v>
      </c>
      <c r="E11" s="29">
        <v>12</v>
      </c>
      <c r="F11" s="29">
        <v>6</v>
      </c>
      <c r="G11" s="29"/>
      <c r="H11" s="29">
        <v>12</v>
      </c>
      <c r="I11" s="29">
        <v>1</v>
      </c>
      <c r="J11" s="29">
        <v>8</v>
      </c>
      <c r="K11" s="29">
        <v>26</v>
      </c>
      <c r="L11" s="29">
        <v>7</v>
      </c>
      <c r="M11" s="29">
        <v>15</v>
      </c>
      <c r="N11" s="29">
        <v>139</v>
      </c>
      <c r="O11" t="s">
        <v>1013</v>
      </c>
      <c r="P11" t="s">
        <v>64</v>
      </c>
    </row>
    <row r="12" spans="1:16" x14ac:dyDescent="0.35">
      <c r="A12" s="19" t="s">
        <v>64</v>
      </c>
      <c r="B12" s="29">
        <v>10</v>
      </c>
      <c r="C12" s="29">
        <v>25</v>
      </c>
      <c r="D12" s="29">
        <v>29</v>
      </c>
      <c r="E12" s="29">
        <v>33</v>
      </c>
      <c r="F12" s="29">
        <v>17</v>
      </c>
      <c r="G12" s="29"/>
      <c r="H12" s="29">
        <v>38</v>
      </c>
      <c r="I12" s="29">
        <v>30</v>
      </c>
      <c r="J12" s="29">
        <v>2</v>
      </c>
      <c r="K12" s="29">
        <v>25</v>
      </c>
      <c r="L12" s="29">
        <v>16</v>
      </c>
      <c r="M12" s="29">
        <v>15</v>
      </c>
      <c r="N12" s="29">
        <v>240</v>
      </c>
      <c r="O12" t="s">
        <v>1008</v>
      </c>
      <c r="P12" t="s">
        <v>19</v>
      </c>
    </row>
    <row r="13" spans="1:16" x14ac:dyDescent="0.35">
      <c r="A13" s="19" t="s">
        <v>37</v>
      </c>
      <c r="B13" s="29">
        <v>3</v>
      </c>
      <c r="C13" s="29">
        <v>7</v>
      </c>
      <c r="D13" s="29">
        <v>4</v>
      </c>
      <c r="E13" s="29">
        <v>11</v>
      </c>
      <c r="F13" s="29"/>
      <c r="G13" s="29">
        <v>8</v>
      </c>
      <c r="H13" s="29">
        <v>8</v>
      </c>
      <c r="I13" s="29">
        <v>10</v>
      </c>
      <c r="J13" s="29">
        <v>1</v>
      </c>
      <c r="K13" s="29">
        <v>2</v>
      </c>
      <c r="L13" s="29">
        <v>6</v>
      </c>
      <c r="M13" s="29">
        <v>14</v>
      </c>
      <c r="N13" s="29">
        <v>74</v>
      </c>
      <c r="O13" t="s">
        <v>1015</v>
      </c>
      <c r="P13" t="s">
        <v>1021</v>
      </c>
    </row>
    <row r="14" spans="1:16" x14ac:dyDescent="0.35">
      <c r="A14" s="19" t="s">
        <v>26</v>
      </c>
      <c r="B14" s="29">
        <v>10</v>
      </c>
      <c r="C14" s="29">
        <v>16</v>
      </c>
      <c r="D14" s="29">
        <v>9</v>
      </c>
      <c r="E14" s="29">
        <v>4</v>
      </c>
      <c r="F14" s="29">
        <v>20</v>
      </c>
      <c r="G14" s="29">
        <v>14</v>
      </c>
      <c r="H14" s="29"/>
      <c r="I14" s="29">
        <v>2</v>
      </c>
      <c r="J14" s="29">
        <v>20</v>
      </c>
      <c r="K14" s="29">
        <v>11</v>
      </c>
      <c r="L14" s="29">
        <v>9</v>
      </c>
      <c r="M14" s="29">
        <v>14</v>
      </c>
      <c r="N14" s="29">
        <v>129</v>
      </c>
      <c r="O14" t="s">
        <v>1014</v>
      </c>
      <c r="P14" t="s">
        <v>49</v>
      </c>
    </row>
    <row r="15" spans="1:16" x14ac:dyDescent="0.35">
      <c r="A15" s="19" t="s">
        <v>81</v>
      </c>
      <c r="B15" s="29">
        <v>7</v>
      </c>
      <c r="C15" s="29">
        <v>16</v>
      </c>
      <c r="D15" s="29">
        <v>24</v>
      </c>
      <c r="E15" s="29">
        <v>6</v>
      </c>
      <c r="F15" s="29">
        <v>15</v>
      </c>
      <c r="G15" s="29">
        <v>20</v>
      </c>
      <c r="H15" s="29">
        <v>27</v>
      </c>
      <c r="I15" s="29">
        <v>13</v>
      </c>
      <c r="J15" s="29">
        <v>2</v>
      </c>
      <c r="K15" s="29"/>
      <c r="L15" s="29">
        <v>8</v>
      </c>
      <c r="M15" s="29">
        <v>12</v>
      </c>
      <c r="N15" s="29">
        <v>150</v>
      </c>
      <c r="O15" t="s">
        <v>1009</v>
      </c>
      <c r="P15" t="s">
        <v>71</v>
      </c>
    </row>
    <row r="16" spans="1:16" x14ac:dyDescent="0.35">
      <c r="A16" s="19" t="s">
        <v>61</v>
      </c>
      <c r="B16" s="29">
        <v>21</v>
      </c>
      <c r="C16" s="29">
        <v>8</v>
      </c>
      <c r="D16" s="29"/>
      <c r="E16" s="29"/>
      <c r="F16" s="29"/>
      <c r="G16" s="29">
        <v>14</v>
      </c>
      <c r="H16" s="29"/>
      <c r="I16" s="29">
        <v>17</v>
      </c>
      <c r="J16" s="29">
        <v>9</v>
      </c>
      <c r="K16" s="29">
        <v>10</v>
      </c>
      <c r="L16" s="29">
        <v>2</v>
      </c>
      <c r="M16" s="29">
        <v>11</v>
      </c>
      <c r="N16" s="29">
        <v>92</v>
      </c>
      <c r="O16" t="s">
        <v>1010</v>
      </c>
      <c r="P16" t="s">
        <v>12</v>
      </c>
    </row>
    <row r="17" spans="1:27" x14ac:dyDescent="0.35">
      <c r="A17" s="19" t="s">
        <v>70</v>
      </c>
      <c r="B17" s="29">
        <v>8</v>
      </c>
      <c r="C17" s="29">
        <v>31</v>
      </c>
      <c r="D17" s="29">
        <v>18</v>
      </c>
      <c r="E17" s="29">
        <v>9</v>
      </c>
      <c r="F17" s="29"/>
      <c r="G17" s="29">
        <v>11</v>
      </c>
      <c r="H17" s="29"/>
      <c r="I17" s="29"/>
      <c r="J17" s="29">
        <v>11</v>
      </c>
      <c r="K17" s="29">
        <v>5</v>
      </c>
      <c r="L17" s="29">
        <v>12</v>
      </c>
      <c r="M17" s="29">
        <v>11</v>
      </c>
      <c r="N17" s="29">
        <v>116</v>
      </c>
    </row>
    <row r="18" spans="1:27" x14ac:dyDescent="0.35">
      <c r="A18" s="19" t="s">
        <v>16</v>
      </c>
      <c r="B18" s="29">
        <v>12</v>
      </c>
      <c r="C18" s="29"/>
      <c r="D18" s="29">
        <v>20</v>
      </c>
      <c r="E18" s="29">
        <v>5</v>
      </c>
      <c r="F18" s="29">
        <v>9</v>
      </c>
      <c r="G18" s="29">
        <v>9</v>
      </c>
      <c r="H18" s="29">
        <v>11</v>
      </c>
      <c r="I18" s="29">
        <v>8</v>
      </c>
      <c r="J18" s="29">
        <v>2</v>
      </c>
      <c r="K18" s="29">
        <v>17</v>
      </c>
      <c r="L18" s="29">
        <v>9</v>
      </c>
      <c r="M18" s="29">
        <v>10</v>
      </c>
      <c r="N18" s="29">
        <v>112</v>
      </c>
    </row>
    <row r="19" spans="1:27" x14ac:dyDescent="0.35">
      <c r="A19" s="19" t="s">
        <v>71</v>
      </c>
      <c r="B19" s="29">
        <v>2</v>
      </c>
      <c r="C19" s="29">
        <v>9</v>
      </c>
      <c r="D19" s="29">
        <v>13</v>
      </c>
      <c r="E19" s="29">
        <v>6</v>
      </c>
      <c r="F19" s="29">
        <v>5</v>
      </c>
      <c r="G19" s="29">
        <v>3</v>
      </c>
      <c r="H19" s="29">
        <v>28</v>
      </c>
      <c r="I19" s="29">
        <v>10</v>
      </c>
      <c r="J19" s="29">
        <v>11</v>
      </c>
      <c r="K19" s="29">
        <v>2</v>
      </c>
      <c r="L19" s="29">
        <v>27</v>
      </c>
      <c r="M19" s="29">
        <v>10</v>
      </c>
      <c r="N19" s="29">
        <v>126</v>
      </c>
    </row>
    <row r="20" spans="1:27" x14ac:dyDescent="0.35">
      <c r="A20" s="19" t="s">
        <v>50</v>
      </c>
      <c r="B20" s="29">
        <v>22</v>
      </c>
      <c r="C20" s="29"/>
      <c r="D20" s="29"/>
      <c r="E20" s="29">
        <v>10</v>
      </c>
      <c r="F20" s="29">
        <v>26</v>
      </c>
      <c r="G20" s="29">
        <v>1</v>
      </c>
      <c r="H20" s="29">
        <v>17</v>
      </c>
      <c r="I20" s="29">
        <v>10</v>
      </c>
      <c r="J20" s="29">
        <v>27</v>
      </c>
      <c r="K20" s="29">
        <v>27</v>
      </c>
      <c r="L20" s="29">
        <v>14</v>
      </c>
      <c r="M20" s="29">
        <v>8</v>
      </c>
      <c r="N20" s="29">
        <v>162</v>
      </c>
    </row>
    <row r="21" spans="1:27" x14ac:dyDescent="0.35">
      <c r="A21" s="19" t="s">
        <v>47</v>
      </c>
      <c r="B21" s="29">
        <v>9</v>
      </c>
      <c r="C21" s="29">
        <v>2</v>
      </c>
      <c r="D21" s="29">
        <v>7</v>
      </c>
      <c r="E21" s="29">
        <v>10</v>
      </c>
      <c r="F21" s="29">
        <v>10</v>
      </c>
      <c r="G21" s="29">
        <v>7</v>
      </c>
      <c r="H21" s="29">
        <v>16</v>
      </c>
      <c r="I21" s="29">
        <v>17</v>
      </c>
      <c r="J21" s="29">
        <v>5</v>
      </c>
      <c r="K21" s="29">
        <v>12</v>
      </c>
      <c r="L21" s="29">
        <v>12</v>
      </c>
      <c r="M21" s="29">
        <v>8</v>
      </c>
      <c r="N21" s="29">
        <v>115</v>
      </c>
      <c r="O21" t="s">
        <v>1024</v>
      </c>
    </row>
    <row r="22" spans="1:27" x14ac:dyDescent="0.35">
      <c r="A22" s="19" t="s">
        <v>35</v>
      </c>
      <c r="B22" s="29">
        <v>12</v>
      </c>
      <c r="C22" s="29"/>
      <c r="D22" s="29">
        <v>23</v>
      </c>
      <c r="E22" s="29">
        <v>34</v>
      </c>
      <c r="F22" s="29">
        <v>4</v>
      </c>
      <c r="G22" s="29">
        <v>13</v>
      </c>
      <c r="H22" s="29">
        <v>7</v>
      </c>
      <c r="I22" s="29">
        <v>4</v>
      </c>
      <c r="J22" s="29">
        <v>14</v>
      </c>
      <c r="K22" s="29">
        <v>24</v>
      </c>
      <c r="L22" s="29">
        <v>10</v>
      </c>
      <c r="M22" s="29">
        <v>7</v>
      </c>
      <c r="N22" s="29">
        <v>152</v>
      </c>
      <c r="O22">
        <v>10375</v>
      </c>
      <c r="P22" t="s">
        <v>424</v>
      </c>
      <c r="Q22" t="s">
        <v>10</v>
      </c>
      <c r="R22" t="s">
        <v>63</v>
      </c>
      <c r="S22" t="s">
        <v>11</v>
      </c>
      <c r="T22" t="s">
        <v>12</v>
      </c>
      <c r="U22">
        <v>8</v>
      </c>
      <c r="V22" s="10">
        <v>35000</v>
      </c>
      <c r="W22" s="10">
        <v>280000</v>
      </c>
      <c r="X22" s="11">
        <v>45663</v>
      </c>
      <c r="Y22" t="s">
        <v>1005</v>
      </c>
      <c r="Z22" t="s">
        <v>13</v>
      </c>
      <c r="AA22" t="s">
        <v>14</v>
      </c>
    </row>
    <row r="23" spans="1:27" x14ac:dyDescent="0.35">
      <c r="A23" s="19" t="s">
        <v>30</v>
      </c>
      <c r="B23" s="29">
        <v>3</v>
      </c>
      <c r="C23" s="29">
        <v>3</v>
      </c>
      <c r="D23" s="29">
        <v>14</v>
      </c>
      <c r="E23" s="29">
        <v>31</v>
      </c>
      <c r="F23" s="29">
        <v>10</v>
      </c>
      <c r="G23" s="29">
        <v>5</v>
      </c>
      <c r="H23" s="29">
        <v>11</v>
      </c>
      <c r="I23" s="29">
        <v>10</v>
      </c>
      <c r="J23" s="29">
        <v>10</v>
      </c>
      <c r="K23" s="29">
        <v>14</v>
      </c>
      <c r="L23" s="29">
        <v>9</v>
      </c>
      <c r="M23" s="29">
        <v>7</v>
      </c>
      <c r="N23" s="29">
        <v>127</v>
      </c>
      <c r="O23">
        <v>10342</v>
      </c>
      <c r="P23" t="s">
        <v>173</v>
      </c>
      <c r="Q23" t="s">
        <v>425</v>
      </c>
      <c r="R23" t="s">
        <v>117</v>
      </c>
      <c r="S23" t="s">
        <v>15</v>
      </c>
      <c r="T23" t="s">
        <v>16</v>
      </c>
      <c r="U23">
        <v>9</v>
      </c>
      <c r="V23" s="10">
        <v>45000</v>
      </c>
      <c r="W23" s="10">
        <v>405000</v>
      </c>
      <c r="X23" s="11">
        <v>45805</v>
      </c>
      <c r="Y23" t="s">
        <v>1006</v>
      </c>
      <c r="Z23" t="s">
        <v>17</v>
      </c>
      <c r="AA23" t="s">
        <v>14</v>
      </c>
    </row>
    <row r="24" spans="1:27" x14ac:dyDescent="0.35">
      <c r="A24" s="19" t="s">
        <v>42</v>
      </c>
      <c r="B24" s="29">
        <v>3</v>
      </c>
      <c r="C24" s="29">
        <v>18</v>
      </c>
      <c r="D24" s="29">
        <v>17</v>
      </c>
      <c r="E24" s="29"/>
      <c r="F24" s="29">
        <v>15</v>
      </c>
      <c r="G24" s="29">
        <v>14</v>
      </c>
      <c r="H24" s="29">
        <v>17</v>
      </c>
      <c r="I24" s="29">
        <v>10</v>
      </c>
      <c r="J24" s="29"/>
      <c r="K24" s="29"/>
      <c r="L24" s="29">
        <v>14</v>
      </c>
      <c r="M24" s="29">
        <v>4</v>
      </c>
      <c r="N24" s="29">
        <v>112</v>
      </c>
      <c r="O24">
        <v>10177</v>
      </c>
      <c r="P24" t="s">
        <v>432</v>
      </c>
      <c r="Q24" t="s">
        <v>38</v>
      </c>
      <c r="R24" t="s">
        <v>59</v>
      </c>
      <c r="S24" t="s">
        <v>11</v>
      </c>
      <c r="T24" t="s">
        <v>39</v>
      </c>
      <c r="U24">
        <v>5</v>
      </c>
      <c r="V24" s="10">
        <v>0</v>
      </c>
      <c r="W24" s="10">
        <v>0</v>
      </c>
      <c r="X24" s="11">
        <v>45691</v>
      </c>
      <c r="Y24" t="s">
        <v>1011</v>
      </c>
      <c r="Z24" t="s">
        <v>40</v>
      </c>
      <c r="AA24" t="s">
        <v>14</v>
      </c>
    </row>
    <row r="25" spans="1:27" x14ac:dyDescent="0.35">
      <c r="A25" s="19" t="s">
        <v>57</v>
      </c>
      <c r="B25" s="29">
        <v>1</v>
      </c>
      <c r="C25" s="29">
        <v>22</v>
      </c>
      <c r="D25" s="29">
        <v>5</v>
      </c>
      <c r="E25" s="29">
        <v>9</v>
      </c>
      <c r="F25" s="29"/>
      <c r="G25" s="29">
        <v>17</v>
      </c>
      <c r="H25" s="29">
        <v>2</v>
      </c>
      <c r="I25" s="29">
        <v>4</v>
      </c>
      <c r="J25" s="29">
        <v>30</v>
      </c>
      <c r="K25" s="29">
        <v>3</v>
      </c>
      <c r="L25" s="29">
        <v>15</v>
      </c>
      <c r="M25" s="29">
        <v>3</v>
      </c>
      <c r="N25" s="29">
        <v>111</v>
      </c>
      <c r="O25">
        <v>10372</v>
      </c>
      <c r="P25" t="s">
        <v>333</v>
      </c>
      <c r="Q25" t="s">
        <v>62</v>
      </c>
      <c r="R25" t="s">
        <v>63</v>
      </c>
      <c r="S25" t="s">
        <v>29</v>
      </c>
      <c r="T25" t="s">
        <v>64</v>
      </c>
      <c r="U25">
        <v>7</v>
      </c>
      <c r="V25" s="10">
        <v>25000</v>
      </c>
      <c r="W25" s="10">
        <v>175000</v>
      </c>
      <c r="X25" s="11">
        <v>45974</v>
      </c>
      <c r="Y25" t="s">
        <v>1009</v>
      </c>
      <c r="Z25" t="s">
        <v>36</v>
      </c>
      <c r="AA25" t="s">
        <v>14</v>
      </c>
    </row>
    <row r="26" spans="1:27" x14ac:dyDescent="0.35">
      <c r="A26" s="19" t="s">
        <v>73</v>
      </c>
      <c r="B26" s="29">
        <v>13</v>
      </c>
      <c r="C26" s="29">
        <v>3</v>
      </c>
      <c r="D26" s="29">
        <v>3</v>
      </c>
      <c r="E26" s="29">
        <v>19</v>
      </c>
      <c r="F26" s="29">
        <v>1</v>
      </c>
      <c r="G26" s="29">
        <v>26</v>
      </c>
      <c r="H26" s="29">
        <v>14</v>
      </c>
      <c r="I26" s="29">
        <v>17</v>
      </c>
      <c r="J26" s="29">
        <v>2</v>
      </c>
      <c r="K26" s="29">
        <v>1</v>
      </c>
      <c r="L26" s="29">
        <v>8</v>
      </c>
      <c r="M26" s="29">
        <v>2</v>
      </c>
      <c r="N26" s="29">
        <v>109</v>
      </c>
      <c r="O26">
        <v>10031</v>
      </c>
      <c r="P26" t="s">
        <v>473</v>
      </c>
      <c r="Q26" t="s">
        <v>474</v>
      </c>
      <c r="R26" t="s">
        <v>82</v>
      </c>
      <c r="S26" t="s">
        <v>15</v>
      </c>
      <c r="T26" t="s">
        <v>55</v>
      </c>
      <c r="U26">
        <v>10</v>
      </c>
      <c r="V26" s="10">
        <v>250000</v>
      </c>
      <c r="W26" s="10">
        <v>2500000</v>
      </c>
      <c r="X26" s="11">
        <v>45852</v>
      </c>
      <c r="Y26" t="s">
        <v>1013</v>
      </c>
      <c r="Z26" t="s">
        <v>17</v>
      </c>
      <c r="AA26" t="s">
        <v>14</v>
      </c>
    </row>
    <row r="27" spans="1:27" x14ac:dyDescent="0.35">
      <c r="A27" s="19" t="s">
        <v>41</v>
      </c>
      <c r="B27" s="29">
        <v>6</v>
      </c>
      <c r="C27" s="29">
        <v>10</v>
      </c>
      <c r="D27" s="29">
        <v>5</v>
      </c>
      <c r="E27" s="29">
        <v>22</v>
      </c>
      <c r="F27" s="29">
        <v>12</v>
      </c>
      <c r="G27" s="29">
        <v>11</v>
      </c>
      <c r="H27" s="29">
        <v>30</v>
      </c>
      <c r="I27" s="29">
        <v>20</v>
      </c>
      <c r="J27" s="29">
        <v>32</v>
      </c>
      <c r="K27" s="29">
        <v>27</v>
      </c>
      <c r="L27" s="29">
        <v>1</v>
      </c>
      <c r="M27" s="29">
        <v>1</v>
      </c>
      <c r="N27" s="29">
        <v>177</v>
      </c>
      <c r="O27">
        <v>10400</v>
      </c>
      <c r="P27" t="s">
        <v>476</v>
      </c>
      <c r="Q27" t="s">
        <v>477</v>
      </c>
      <c r="R27" t="s">
        <v>117</v>
      </c>
      <c r="S27" t="s">
        <v>18</v>
      </c>
      <c r="T27" t="s">
        <v>52</v>
      </c>
      <c r="U27">
        <v>3</v>
      </c>
      <c r="V27" s="10">
        <v>45000</v>
      </c>
      <c r="W27" s="10">
        <v>135000</v>
      </c>
      <c r="X27" s="11">
        <v>45994</v>
      </c>
      <c r="Y27" t="s">
        <v>1010</v>
      </c>
      <c r="Z27" t="s">
        <v>24</v>
      </c>
      <c r="AA27" t="s">
        <v>14</v>
      </c>
    </row>
    <row r="28" spans="1:27" x14ac:dyDescent="0.35">
      <c r="A28" s="19" t="s">
        <v>45</v>
      </c>
      <c r="B28" s="29">
        <v>8</v>
      </c>
      <c r="C28" s="29">
        <v>11</v>
      </c>
      <c r="D28" s="29">
        <v>8</v>
      </c>
      <c r="E28" s="29">
        <v>5</v>
      </c>
      <c r="F28" s="29">
        <v>20</v>
      </c>
      <c r="G28" s="29">
        <v>45</v>
      </c>
      <c r="H28" s="29">
        <v>2</v>
      </c>
      <c r="I28" s="29">
        <v>22</v>
      </c>
      <c r="J28" s="29">
        <v>9</v>
      </c>
      <c r="K28" s="29">
        <v>14</v>
      </c>
      <c r="L28" s="29">
        <v>20</v>
      </c>
      <c r="M28" s="29"/>
      <c r="N28" s="29">
        <v>164</v>
      </c>
      <c r="O28">
        <v>10403</v>
      </c>
      <c r="P28" t="s">
        <v>471</v>
      </c>
      <c r="Q28" t="s">
        <v>479</v>
      </c>
      <c r="R28" t="s">
        <v>23</v>
      </c>
      <c r="S28" t="s">
        <v>34</v>
      </c>
      <c r="T28" t="s">
        <v>35</v>
      </c>
      <c r="U28">
        <v>6</v>
      </c>
      <c r="V28" s="10">
        <v>15000</v>
      </c>
      <c r="W28" s="10">
        <v>90000</v>
      </c>
      <c r="X28" s="11">
        <v>45840</v>
      </c>
      <c r="Y28" t="s">
        <v>1013</v>
      </c>
      <c r="Z28" t="s">
        <v>17</v>
      </c>
      <c r="AA28" t="s">
        <v>14</v>
      </c>
    </row>
    <row r="29" spans="1:27" x14ac:dyDescent="0.35">
      <c r="A29" s="19" t="s">
        <v>67</v>
      </c>
      <c r="B29" s="29">
        <v>18</v>
      </c>
      <c r="C29" s="29"/>
      <c r="D29" s="29"/>
      <c r="E29" s="29"/>
      <c r="F29" s="29">
        <v>7</v>
      </c>
      <c r="G29" s="29">
        <v>20</v>
      </c>
      <c r="H29" s="29">
        <v>19</v>
      </c>
      <c r="I29" s="29">
        <v>3</v>
      </c>
      <c r="J29" s="29">
        <v>22</v>
      </c>
      <c r="K29" s="29">
        <v>5</v>
      </c>
      <c r="L29" s="29">
        <v>23</v>
      </c>
      <c r="M29" s="29"/>
      <c r="N29" s="29">
        <v>117</v>
      </c>
      <c r="O29">
        <v>10388</v>
      </c>
      <c r="P29" t="s">
        <v>85</v>
      </c>
      <c r="Q29" t="s">
        <v>495</v>
      </c>
      <c r="R29" t="s">
        <v>86</v>
      </c>
      <c r="S29" t="s">
        <v>11</v>
      </c>
      <c r="T29" t="s">
        <v>71</v>
      </c>
      <c r="U29">
        <v>9</v>
      </c>
      <c r="V29" s="10">
        <v>99000</v>
      </c>
      <c r="W29" s="10">
        <v>891000</v>
      </c>
      <c r="X29" s="11">
        <v>45691</v>
      </c>
      <c r="Y29" t="s">
        <v>1011</v>
      </c>
      <c r="Z29" t="s">
        <v>40</v>
      </c>
      <c r="AA29" t="s">
        <v>14</v>
      </c>
    </row>
    <row r="30" spans="1:27" x14ac:dyDescent="0.35">
      <c r="A30" s="19" t="s">
        <v>1001</v>
      </c>
      <c r="B30" s="29">
        <v>249</v>
      </c>
      <c r="C30" s="29">
        <v>250</v>
      </c>
      <c r="D30" s="29">
        <v>251</v>
      </c>
      <c r="E30" s="29">
        <v>257</v>
      </c>
      <c r="F30" s="29">
        <v>209</v>
      </c>
      <c r="G30" s="29">
        <v>288</v>
      </c>
      <c r="H30" s="29">
        <v>385</v>
      </c>
      <c r="I30" s="29">
        <v>275</v>
      </c>
      <c r="J30" s="29">
        <v>288</v>
      </c>
      <c r="K30" s="29">
        <v>286</v>
      </c>
      <c r="L30" s="29">
        <v>270</v>
      </c>
      <c r="M30" s="29">
        <v>293</v>
      </c>
      <c r="N30" s="29">
        <v>3301</v>
      </c>
      <c r="O30">
        <v>10406</v>
      </c>
      <c r="P30" t="s">
        <v>504</v>
      </c>
      <c r="Q30" t="s">
        <v>505</v>
      </c>
      <c r="R30" t="s">
        <v>23</v>
      </c>
      <c r="S30" t="s">
        <v>11</v>
      </c>
      <c r="T30" t="s">
        <v>50</v>
      </c>
      <c r="U30">
        <v>9</v>
      </c>
      <c r="V30" s="10">
        <v>199000</v>
      </c>
      <c r="W30" s="10">
        <v>1791000</v>
      </c>
      <c r="X30" s="11">
        <v>45908</v>
      </c>
      <c r="Y30" t="s">
        <v>1015</v>
      </c>
      <c r="Z30" t="s">
        <v>36</v>
      </c>
      <c r="AA30" t="s">
        <v>14</v>
      </c>
    </row>
    <row r="31" spans="1:27" x14ac:dyDescent="0.35">
      <c r="O31">
        <v>10599</v>
      </c>
      <c r="P31" t="s">
        <v>456</v>
      </c>
      <c r="Q31" t="s">
        <v>88</v>
      </c>
      <c r="R31" t="s">
        <v>66</v>
      </c>
      <c r="S31" t="s">
        <v>11</v>
      </c>
      <c r="T31" t="s">
        <v>50</v>
      </c>
      <c r="U31">
        <v>10</v>
      </c>
      <c r="V31" s="10">
        <v>150000</v>
      </c>
      <c r="W31" s="10">
        <v>1500000</v>
      </c>
      <c r="X31" s="11">
        <v>45854</v>
      </c>
      <c r="Y31" t="s">
        <v>1013</v>
      </c>
      <c r="Z31" t="s">
        <v>40</v>
      </c>
      <c r="AA31" t="s">
        <v>14</v>
      </c>
    </row>
    <row r="32" spans="1:27" x14ac:dyDescent="0.35">
      <c r="O32">
        <v>10490</v>
      </c>
      <c r="P32" t="s">
        <v>514</v>
      </c>
      <c r="Q32" t="s">
        <v>515</v>
      </c>
      <c r="R32" t="s">
        <v>117</v>
      </c>
      <c r="S32" t="s">
        <v>18</v>
      </c>
      <c r="T32" t="s">
        <v>52</v>
      </c>
      <c r="U32">
        <v>2</v>
      </c>
      <c r="V32" s="10">
        <v>45000</v>
      </c>
      <c r="W32" s="10">
        <v>90000</v>
      </c>
      <c r="X32" s="11">
        <v>45856</v>
      </c>
      <c r="Y32" t="s">
        <v>1013</v>
      </c>
      <c r="Z32" t="s">
        <v>40</v>
      </c>
      <c r="AA32" t="s">
        <v>14</v>
      </c>
    </row>
    <row r="33" spans="2:27" x14ac:dyDescent="0.35">
      <c r="B33" s="18" t="s">
        <v>9</v>
      </c>
      <c r="C33" t="s">
        <v>1026</v>
      </c>
      <c r="O33">
        <v>10448</v>
      </c>
      <c r="P33" t="s">
        <v>97</v>
      </c>
      <c r="Q33" t="s">
        <v>516</v>
      </c>
      <c r="R33" t="s">
        <v>148</v>
      </c>
      <c r="S33" t="s">
        <v>34</v>
      </c>
      <c r="T33" t="s">
        <v>35</v>
      </c>
      <c r="U33">
        <v>9</v>
      </c>
      <c r="V33" s="10">
        <v>120000</v>
      </c>
      <c r="W33" s="10">
        <v>1080000</v>
      </c>
      <c r="X33" s="11">
        <v>45936</v>
      </c>
      <c r="Y33" t="s">
        <v>1014</v>
      </c>
      <c r="Z33" t="s">
        <v>24</v>
      </c>
      <c r="AA33" t="s">
        <v>14</v>
      </c>
    </row>
    <row r="34" spans="2:27" x14ac:dyDescent="0.35">
      <c r="O34">
        <v>10042</v>
      </c>
      <c r="P34" t="s">
        <v>526</v>
      </c>
      <c r="Q34" t="s">
        <v>436</v>
      </c>
      <c r="R34" t="s">
        <v>66</v>
      </c>
      <c r="S34" t="s">
        <v>11</v>
      </c>
      <c r="T34" t="s">
        <v>39</v>
      </c>
      <c r="U34">
        <v>3</v>
      </c>
      <c r="V34" s="10">
        <v>50000</v>
      </c>
      <c r="W34" s="10">
        <v>150000</v>
      </c>
      <c r="X34" s="11">
        <v>45882</v>
      </c>
      <c r="Y34" t="s">
        <v>1008</v>
      </c>
      <c r="Z34" t="s">
        <v>40</v>
      </c>
      <c r="AA34" t="s">
        <v>14</v>
      </c>
    </row>
    <row r="35" spans="2:27" x14ac:dyDescent="0.35">
      <c r="B35" s="18" t="s">
        <v>1002</v>
      </c>
      <c r="C35" t="s">
        <v>1022</v>
      </c>
      <c r="E35" t="s">
        <v>1023</v>
      </c>
      <c r="O35">
        <v>10206</v>
      </c>
      <c r="P35" t="s">
        <v>529</v>
      </c>
      <c r="Q35" t="s">
        <v>530</v>
      </c>
      <c r="R35" t="s">
        <v>46</v>
      </c>
      <c r="S35" t="s">
        <v>11</v>
      </c>
      <c r="T35" t="s">
        <v>61</v>
      </c>
      <c r="U35">
        <v>3</v>
      </c>
      <c r="V35" s="10">
        <v>250000</v>
      </c>
      <c r="W35" s="10">
        <v>750000</v>
      </c>
      <c r="X35" s="11">
        <v>45993</v>
      </c>
      <c r="Y35" t="s">
        <v>1010</v>
      </c>
      <c r="Z35" t="s">
        <v>36</v>
      </c>
      <c r="AA35" t="s">
        <v>14</v>
      </c>
    </row>
    <row r="36" spans="2:27" x14ac:dyDescent="0.35">
      <c r="B36" s="19" t="s">
        <v>117</v>
      </c>
      <c r="C36" s="30">
        <v>33</v>
      </c>
      <c r="E36" t="s">
        <v>117</v>
      </c>
      <c r="O36">
        <v>10531</v>
      </c>
      <c r="P36" t="s">
        <v>542</v>
      </c>
      <c r="Q36" t="s">
        <v>103</v>
      </c>
      <c r="R36" t="s">
        <v>46</v>
      </c>
      <c r="S36" t="s">
        <v>18</v>
      </c>
      <c r="T36" t="s">
        <v>57</v>
      </c>
      <c r="U36">
        <v>4</v>
      </c>
      <c r="V36" s="10">
        <v>45000</v>
      </c>
      <c r="W36" s="10">
        <v>180000</v>
      </c>
      <c r="X36" s="11">
        <v>45711</v>
      </c>
      <c r="Y36" t="s">
        <v>1011</v>
      </c>
      <c r="Z36" t="s">
        <v>40</v>
      </c>
      <c r="AA36" t="s">
        <v>14</v>
      </c>
    </row>
    <row r="37" spans="2:27" x14ac:dyDescent="0.35">
      <c r="B37" s="19" t="s">
        <v>66</v>
      </c>
      <c r="C37" s="30">
        <v>28</v>
      </c>
      <c r="E37" t="s">
        <v>66</v>
      </c>
      <c r="O37">
        <v>10265</v>
      </c>
      <c r="P37" t="s">
        <v>105</v>
      </c>
      <c r="Q37" t="s">
        <v>106</v>
      </c>
      <c r="R37" t="s">
        <v>23</v>
      </c>
      <c r="S37" t="s">
        <v>18</v>
      </c>
      <c r="T37" t="s">
        <v>52</v>
      </c>
      <c r="U37">
        <v>1</v>
      </c>
      <c r="V37" s="10">
        <v>150000</v>
      </c>
      <c r="W37" s="10">
        <v>150000</v>
      </c>
      <c r="X37" s="11">
        <v>45856</v>
      </c>
      <c r="Y37" t="s">
        <v>1013</v>
      </c>
      <c r="Z37" t="s">
        <v>13</v>
      </c>
      <c r="AA37" t="s">
        <v>14</v>
      </c>
    </row>
    <row r="38" spans="2:27" x14ac:dyDescent="0.35">
      <c r="B38" s="19" t="s">
        <v>86</v>
      </c>
      <c r="C38" s="30">
        <v>27</v>
      </c>
      <c r="O38">
        <v>10201</v>
      </c>
      <c r="P38" t="s">
        <v>556</v>
      </c>
      <c r="Q38" t="s">
        <v>111</v>
      </c>
      <c r="R38" t="s">
        <v>23</v>
      </c>
      <c r="S38" t="s">
        <v>18</v>
      </c>
      <c r="T38" t="s">
        <v>57</v>
      </c>
      <c r="U38">
        <v>2</v>
      </c>
      <c r="V38" s="10">
        <v>35000</v>
      </c>
      <c r="W38" s="10">
        <v>70000</v>
      </c>
      <c r="X38" s="11">
        <v>45933</v>
      </c>
      <c r="Y38" t="s">
        <v>1014</v>
      </c>
      <c r="Z38" t="s">
        <v>13</v>
      </c>
      <c r="AA38" t="s">
        <v>14</v>
      </c>
    </row>
    <row r="39" spans="2:27" x14ac:dyDescent="0.35">
      <c r="B39" s="19" t="s">
        <v>23</v>
      </c>
      <c r="C39" s="30">
        <v>27</v>
      </c>
      <c r="O39">
        <v>10496</v>
      </c>
      <c r="P39" t="s">
        <v>557</v>
      </c>
      <c r="Q39" t="s">
        <v>112</v>
      </c>
      <c r="R39" t="s">
        <v>46</v>
      </c>
      <c r="S39" t="s">
        <v>11</v>
      </c>
      <c r="T39" t="s">
        <v>61</v>
      </c>
      <c r="U39">
        <v>1</v>
      </c>
      <c r="V39" s="10">
        <v>50000</v>
      </c>
      <c r="W39" s="10">
        <v>50000</v>
      </c>
      <c r="X39" s="11">
        <v>45815</v>
      </c>
      <c r="Y39" t="s">
        <v>1007</v>
      </c>
      <c r="Z39" t="s">
        <v>13</v>
      </c>
      <c r="AA39" t="s">
        <v>14</v>
      </c>
    </row>
    <row r="40" spans="2:27" x14ac:dyDescent="0.35">
      <c r="B40" s="19" t="s">
        <v>59</v>
      </c>
      <c r="C40" s="30">
        <v>25</v>
      </c>
      <c r="O40">
        <v>10529</v>
      </c>
      <c r="P40" t="s">
        <v>585</v>
      </c>
      <c r="Q40" t="s">
        <v>133</v>
      </c>
      <c r="R40" t="s">
        <v>46</v>
      </c>
      <c r="S40" t="s">
        <v>18</v>
      </c>
      <c r="T40" t="s">
        <v>70</v>
      </c>
      <c r="U40">
        <v>1</v>
      </c>
      <c r="V40" s="10">
        <v>99000</v>
      </c>
      <c r="W40" s="10">
        <v>99000</v>
      </c>
      <c r="X40" s="11">
        <v>45811</v>
      </c>
      <c r="Y40" t="s">
        <v>1007</v>
      </c>
      <c r="Z40" t="s">
        <v>40</v>
      </c>
      <c r="AA40" t="s">
        <v>14</v>
      </c>
    </row>
    <row r="41" spans="2:27" x14ac:dyDescent="0.35">
      <c r="B41" s="19" t="s">
        <v>82</v>
      </c>
      <c r="C41" s="30">
        <v>25</v>
      </c>
      <c r="O41">
        <v>10583</v>
      </c>
      <c r="P41" t="s">
        <v>587</v>
      </c>
      <c r="Q41" t="s">
        <v>134</v>
      </c>
      <c r="R41" t="s">
        <v>117</v>
      </c>
      <c r="S41" t="s">
        <v>15</v>
      </c>
      <c r="T41" t="s">
        <v>73</v>
      </c>
      <c r="U41">
        <v>5</v>
      </c>
      <c r="V41" s="10">
        <v>150000</v>
      </c>
      <c r="W41" s="10">
        <v>750000</v>
      </c>
      <c r="X41" s="11">
        <v>45820</v>
      </c>
      <c r="Y41" t="s">
        <v>1007</v>
      </c>
      <c r="Z41" t="s">
        <v>13</v>
      </c>
      <c r="AA41" t="s">
        <v>14</v>
      </c>
    </row>
    <row r="42" spans="2:27" x14ac:dyDescent="0.35">
      <c r="B42" s="19" t="s">
        <v>148</v>
      </c>
      <c r="C42" s="30">
        <v>24</v>
      </c>
      <c r="O42">
        <v>10284</v>
      </c>
      <c r="P42" t="s">
        <v>173</v>
      </c>
      <c r="Q42" t="s">
        <v>141</v>
      </c>
      <c r="R42" t="s">
        <v>33</v>
      </c>
      <c r="S42" t="s">
        <v>29</v>
      </c>
      <c r="T42" t="s">
        <v>41</v>
      </c>
      <c r="U42">
        <v>7</v>
      </c>
      <c r="V42" s="10">
        <v>75000</v>
      </c>
      <c r="W42" s="10">
        <v>525000</v>
      </c>
      <c r="X42" s="11">
        <v>45911</v>
      </c>
      <c r="Y42" t="s">
        <v>1015</v>
      </c>
      <c r="Z42" t="s">
        <v>24</v>
      </c>
      <c r="AA42" t="s">
        <v>14</v>
      </c>
    </row>
    <row r="43" spans="2:27" x14ac:dyDescent="0.35">
      <c r="B43" s="19" t="s">
        <v>63</v>
      </c>
      <c r="C43" s="30">
        <v>24</v>
      </c>
      <c r="O43">
        <v>10136</v>
      </c>
      <c r="P43" t="s">
        <v>607</v>
      </c>
      <c r="Q43" t="s">
        <v>144</v>
      </c>
      <c r="R43" t="s">
        <v>82</v>
      </c>
      <c r="S43" t="s">
        <v>11</v>
      </c>
      <c r="T43" t="s">
        <v>39</v>
      </c>
      <c r="U43">
        <v>1</v>
      </c>
      <c r="V43" s="10">
        <v>25000</v>
      </c>
      <c r="W43" s="10">
        <v>25000</v>
      </c>
      <c r="X43" s="11">
        <v>45892</v>
      </c>
      <c r="Y43" t="s">
        <v>1008</v>
      </c>
      <c r="Z43" t="s">
        <v>17</v>
      </c>
      <c r="AA43" t="s">
        <v>14</v>
      </c>
    </row>
    <row r="44" spans="2:27" x14ac:dyDescent="0.35">
      <c r="B44" s="19" t="s">
        <v>46</v>
      </c>
      <c r="C44" s="30">
        <v>21</v>
      </c>
      <c r="O44">
        <v>10434</v>
      </c>
      <c r="P44" t="s">
        <v>610</v>
      </c>
      <c r="Q44" t="s">
        <v>611</v>
      </c>
      <c r="R44" t="s">
        <v>23</v>
      </c>
      <c r="S44" t="s">
        <v>15</v>
      </c>
      <c r="T44" t="s">
        <v>49</v>
      </c>
      <c r="U44">
        <v>10</v>
      </c>
      <c r="V44" s="10">
        <v>25000</v>
      </c>
      <c r="W44" s="10">
        <v>250000</v>
      </c>
      <c r="X44" s="11">
        <v>45983</v>
      </c>
      <c r="Y44" t="s">
        <v>1009</v>
      </c>
      <c r="Z44" t="s">
        <v>36</v>
      </c>
      <c r="AA44" t="s">
        <v>14</v>
      </c>
    </row>
    <row r="45" spans="2:27" x14ac:dyDescent="0.35">
      <c r="B45" s="19" t="s">
        <v>33</v>
      </c>
      <c r="C45" s="30">
        <v>18</v>
      </c>
      <c r="O45">
        <v>10238</v>
      </c>
      <c r="P45" t="s">
        <v>60</v>
      </c>
      <c r="Q45" t="s">
        <v>157</v>
      </c>
      <c r="R45" t="s">
        <v>117</v>
      </c>
      <c r="S45" t="s">
        <v>34</v>
      </c>
      <c r="T45" t="s">
        <v>37</v>
      </c>
      <c r="U45">
        <v>7</v>
      </c>
      <c r="V45" s="10">
        <v>99000</v>
      </c>
      <c r="W45" s="10">
        <v>693000</v>
      </c>
      <c r="X45" s="11">
        <v>45770</v>
      </c>
      <c r="Y45" t="s">
        <v>1012</v>
      </c>
      <c r="Z45" t="s">
        <v>17</v>
      </c>
      <c r="AA45" t="s">
        <v>14</v>
      </c>
    </row>
    <row r="46" spans="2:27" x14ac:dyDescent="0.35">
      <c r="B46" s="19" t="s">
        <v>1001</v>
      </c>
      <c r="C46" s="30">
        <v>252</v>
      </c>
      <c r="O46">
        <v>10164</v>
      </c>
      <c r="P46" t="s">
        <v>627</v>
      </c>
      <c r="Q46" t="s">
        <v>162</v>
      </c>
      <c r="R46" t="s">
        <v>66</v>
      </c>
      <c r="S46" t="s">
        <v>29</v>
      </c>
      <c r="T46" t="s">
        <v>64</v>
      </c>
      <c r="U46">
        <v>10</v>
      </c>
      <c r="V46" s="10">
        <v>120000</v>
      </c>
      <c r="W46" s="10">
        <v>1200000</v>
      </c>
      <c r="X46" s="11">
        <v>45760</v>
      </c>
      <c r="Y46" t="s">
        <v>1012</v>
      </c>
      <c r="Z46" t="s">
        <v>24</v>
      </c>
      <c r="AA46" t="s">
        <v>14</v>
      </c>
    </row>
    <row r="47" spans="2:27" x14ac:dyDescent="0.35">
      <c r="O47">
        <v>10114</v>
      </c>
      <c r="P47" t="s">
        <v>628</v>
      </c>
      <c r="Q47" t="s">
        <v>163</v>
      </c>
      <c r="R47" t="s">
        <v>82</v>
      </c>
      <c r="S47" t="s">
        <v>18</v>
      </c>
      <c r="T47" t="s">
        <v>57</v>
      </c>
      <c r="U47">
        <v>9</v>
      </c>
      <c r="V47" s="10">
        <v>15000</v>
      </c>
      <c r="W47" s="10">
        <v>135000</v>
      </c>
      <c r="X47" s="11">
        <v>45696</v>
      </c>
      <c r="Y47" t="s">
        <v>1011</v>
      </c>
      <c r="Z47" t="s">
        <v>24</v>
      </c>
      <c r="AA47" t="s">
        <v>14</v>
      </c>
    </row>
    <row r="48" spans="2:27" x14ac:dyDescent="0.35">
      <c r="O48">
        <v>10002</v>
      </c>
      <c r="P48" t="s">
        <v>460</v>
      </c>
      <c r="Q48" t="s">
        <v>632</v>
      </c>
      <c r="R48" t="s">
        <v>59</v>
      </c>
      <c r="S48" t="s">
        <v>34</v>
      </c>
      <c r="T48" t="s">
        <v>35</v>
      </c>
      <c r="U48">
        <v>1</v>
      </c>
      <c r="V48" s="10">
        <v>250000</v>
      </c>
      <c r="W48" s="10">
        <v>250000</v>
      </c>
      <c r="X48" s="11">
        <v>45774</v>
      </c>
      <c r="Y48" t="s">
        <v>1012</v>
      </c>
      <c r="Z48" t="s">
        <v>17</v>
      </c>
      <c r="AA48" t="s">
        <v>14</v>
      </c>
    </row>
    <row r="49" spans="15:27" x14ac:dyDescent="0.35">
      <c r="O49">
        <v>10357</v>
      </c>
      <c r="P49" t="s">
        <v>149</v>
      </c>
      <c r="Q49" t="s">
        <v>635</v>
      </c>
      <c r="R49" t="s">
        <v>33</v>
      </c>
      <c r="S49" t="s">
        <v>18</v>
      </c>
      <c r="T49" t="s">
        <v>52</v>
      </c>
      <c r="U49">
        <v>3</v>
      </c>
      <c r="V49" s="10">
        <v>50000</v>
      </c>
      <c r="W49" s="10">
        <v>150000</v>
      </c>
      <c r="X49" s="11">
        <v>45717</v>
      </c>
      <c r="Y49" t="s">
        <v>1016</v>
      </c>
      <c r="Z49" t="s">
        <v>17</v>
      </c>
      <c r="AA49" t="s">
        <v>14</v>
      </c>
    </row>
    <row r="50" spans="15:27" x14ac:dyDescent="0.35">
      <c r="O50">
        <v>10258</v>
      </c>
      <c r="P50" t="s">
        <v>196</v>
      </c>
      <c r="Q50" t="s">
        <v>171</v>
      </c>
      <c r="R50" t="s">
        <v>23</v>
      </c>
      <c r="S50" t="s">
        <v>18</v>
      </c>
      <c r="T50" t="s">
        <v>70</v>
      </c>
      <c r="U50">
        <v>1</v>
      </c>
      <c r="V50" s="10">
        <v>120000</v>
      </c>
      <c r="W50" s="10">
        <v>120000</v>
      </c>
      <c r="X50" s="11">
        <v>45700</v>
      </c>
      <c r="Y50" t="s">
        <v>1011</v>
      </c>
      <c r="Z50" t="s">
        <v>24</v>
      </c>
      <c r="AA50" t="s">
        <v>14</v>
      </c>
    </row>
    <row r="51" spans="15:27" x14ac:dyDescent="0.35">
      <c r="O51">
        <v>10396</v>
      </c>
      <c r="P51" t="s">
        <v>637</v>
      </c>
      <c r="Q51" t="s">
        <v>172</v>
      </c>
      <c r="R51" t="s">
        <v>23</v>
      </c>
      <c r="S51" t="s">
        <v>29</v>
      </c>
      <c r="T51" t="s">
        <v>41</v>
      </c>
      <c r="U51">
        <v>1</v>
      </c>
      <c r="V51" s="10">
        <v>45000</v>
      </c>
      <c r="W51" s="10">
        <v>45000</v>
      </c>
      <c r="X51" s="11">
        <v>46011</v>
      </c>
      <c r="Y51" t="s">
        <v>1010</v>
      </c>
      <c r="Z51" t="s">
        <v>40</v>
      </c>
      <c r="AA51" t="s">
        <v>14</v>
      </c>
    </row>
    <row r="52" spans="15:27" x14ac:dyDescent="0.35">
      <c r="O52">
        <v>10029</v>
      </c>
      <c r="P52" t="s">
        <v>167</v>
      </c>
      <c r="Q52" t="s">
        <v>175</v>
      </c>
      <c r="R52" t="s">
        <v>46</v>
      </c>
      <c r="S52" t="s">
        <v>15</v>
      </c>
      <c r="T52" t="s">
        <v>49</v>
      </c>
      <c r="U52">
        <v>4</v>
      </c>
      <c r="V52" s="10">
        <v>25000</v>
      </c>
      <c r="W52" s="10">
        <v>100000</v>
      </c>
      <c r="X52" s="11">
        <v>45961</v>
      </c>
      <c r="Y52" t="s">
        <v>1014</v>
      </c>
      <c r="Z52" t="s">
        <v>36</v>
      </c>
      <c r="AA52" t="s">
        <v>14</v>
      </c>
    </row>
    <row r="53" spans="15:27" x14ac:dyDescent="0.35">
      <c r="O53">
        <v>10564</v>
      </c>
      <c r="P53" t="s">
        <v>613</v>
      </c>
      <c r="Q53" t="s">
        <v>642</v>
      </c>
      <c r="R53" t="s">
        <v>59</v>
      </c>
      <c r="S53" t="s">
        <v>15</v>
      </c>
      <c r="T53" t="s">
        <v>55</v>
      </c>
      <c r="U53">
        <v>2</v>
      </c>
      <c r="V53" s="10">
        <v>75000</v>
      </c>
      <c r="W53" s="10">
        <v>150000</v>
      </c>
      <c r="X53" s="11">
        <v>45677</v>
      </c>
      <c r="Y53" t="s">
        <v>1005</v>
      </c>
      <c r="Z53" t="s">
        <v>40</v>
      </c>
      <c r="AA53" t="s">
        <v>14</v>
      </c>
    </row>
    <row r="54" spans="15:27" x14ac:dyDescent="0.35">
      <c r="O54">
        <v>10242</v>
      </c>
      <c r="P54" t="s">
        <v>654</v>
      </c>
      <c r="Q54" t="s">
        <v>182</v>
      </c>
      <c r="R54" t="s">
        <v>59</v>
      </c>
      <c r="S54" t="s">
        <v>34</v>
      </c>
      <c r="T54" t="s">
        <v>35</v>
      </c>
      <c r="U54">
        <v>4</v>
      </c>
      <c r="V54" s="10">
        <v>250000</v>
      </c>
      <c r="W54" s="10">
        <v>1000000</v>
      </c>
      <c r="X54" s="11">
        <v>45880</v>
      </c>
      <c r="Y54" t="s">
        <v>1008</v>
      </c>
      <c r="Z54" t="s">
        <v>17</v>
      </c>
      <c r="AA54" t="s">
        <v>14</v>
      </c>
    </row>
    <row r="55" spans="15:27" x14ac:dyDescent="0.35">
      <c r="O55">
        <v>10437</v>
      </c>
      <c r="P55" t="s">
        <v>500</v>
      </c>
      <c r="Q55" t="s">
        <v>655</v>
      </c>
      <c r="R55" t="s">
        <v>59</v>
      </c>
      <c r="S55" t="s">
        <v>18</v>
      </c>
      <c r="T55" t="s">
        <v>52</v>
      </c>
      <c r="U55">
        <v>9</v>
      </c>
      <c r="V55" s="10">
        <v>99000</v>
      </c>
      <c r="W55" s="10">
        <v>891000</v>
      </c>
      <c r="X55" s="11">
        <v>45996</v>
      </c>
      <c r="Y55" t="s">
        <v>1010</v>
      </c>
      <c r="Z55" t="s">
        <v>36</v>
      </c>
      <c r="AA55" t="s">
        <v>14</v>
      </c>
    </row>
    <row r="56" spans="15:27" x14ac:dyDescent="0.35">
      <c r="O56">
        <v>10579</v>
      </c>
      <c r="P56" t="s">
        <v>184</v>
      </c>
      <c r="Q56" t="s">
        <v>436</v>
      </c>
      <c r="R56" t="s">
        <v>66</v>
      </c>
      <c r="S56" t="s">
        <v>34</v>
      </c>
      <c r="T56" t="s">
        <v>37</v>
      </c>
      <c r="U56">
        <v>2</v>
      </c>
      <c r="V56" s="10">
        <v>150000</v>
      </c>
      <c r="W56" s="10">
        <v>300000</v>
      </c>
      <c r="X56" s="11">
        <v>45892</v>
      </c>
      <c r="Y56" t="s">
        <v>1008</v>
      </c>
      <c r="Z56" t="s">
        <v>17</v>
      </c>
      <c r="AA56" t="s">
        <v>14</v>
      </c>
    </row>
    <row r="57" spans="15:27" x14ac:dyDescent="0.35">
      <c r="O57">
        <v>10077</v>
      </c>
      <c r="P57" t="s">
        <v>523</v>
      </c>
      <c r="Q57" t="s">
        <v>656</v>
      </c>
      <c r="R57" t="s">
        <v>117</v>
      </c>
      <c r="S57" t="s">
        <v>18</v>
      </c>
      <c r="T57" t="s">
        <v>70</v>
      </c>
      <c r="U57">
        <v>4</v>
      </c>
      <c r="V57" s="10">
        <v>199000</v>
      </c>
      <c r="W57" s="10">
        <v>796000</v>
      </c>
      <c r="X57" s="11">
        <v>45696</v>
      </c>
      <c r="Y57" t="s">
        <v>1011</v>
      </c>
      <c r="Z57" t="s">
        <v>36</v>
      </c>
      <c r="AA57" t="s">
        <v>14</v>
      </c>
    </row>
    <row r="58" spans="15:27" x14ac:dyDescent="0.35">
      <c r="O58">
        <v>10565</v>
      </c>
      <c r="P58" t="s">
        <v>355</v>
      </c>
      <c r="Q58" t="s">
        <v>185</v>
      </c>
      <c r="R58" t="s">
        <v>82</v>
      </c>
      <c r="S58" t="s">
        <v>15</v>
      </c>
      <c r="T58" t="s">
        <v>42</v>
      </c>
      <c r="U58">
        <v>8</v>
      </c>
      <c r="V58" s="10">
        <v>50000</v>
      </c>
      <c r="W58" s="10">
        <v>400000</v>
      </c>
      <c r="X58" s="11">
        <v>45725</v>
      </c>
      <c r="Y58" t="s">
        <v>1016</v>
      </c>
      <c r="Z58" t="s">
        <v>36</v>
      </c>
      <c r="AA58" t="s">
        <v>14</v>
      </c>
    </row>
    <row r="59" spans="15:27" x14ac:dyDescent="0.35">
      <c r="O59">
        <v>10491</v>
      </c>
      <c r="P59" t="s">
        <v>158</v>
      </c>
      <c r="Q59" t="s">
        <v>662</v>
      </c>
      <c r="R59" t="s">
        <v>59</v>
      </c>
      <c r="S59" t="s">
        <v>15</v>
      </c>
      <c r="T59" t="s">
        <v>42</v>
      </c>
      <c r="U59">
        <v>8</v>
      </c>
      <c r="V59" s="10">
        <v>25000</v>
      </c>
      <c r="W59" s="10">
        <v>200000</v>
      </c>
      <c r="X59" s="11">
        <v>45800</v>
      </c>
      <c r="Y59" t="s">
        <v>1006</v>
      </c>
      <c r="Z59" t="s">
        <v>40</v>
      </c>
      <c r="AA59" t="s">
        <v>14</v>
      </c>
    </row>
    <row r="60" spans="15:27" x14ac:dyDescent="0.35">
      <c r="O60">
        <v>10440</v>
      </c>
      <c r="P60" t="s">
        <v>668</v>
      </c>
      <c r="Q60" t="s">
        <v>669</v>
      </c>
      <c r="R60" t="s">
        <v>117</v>
      </c>
      <c r="S60" t="s">
        <v>15</v>
      </c>
      <c r="T60" t="s">
        <v>55</v>
      </c>
      <c r="U60">
        <v>7</v>
      </c>
      <c r="V60" s="10">
        <v>45000</v>
      </c>
      <c r="W60" s="10">
        <v>315000</v>
      </c>
      <c r="X60" s="11">
        <v>45772</v>
      </c>
      <c r="Y60" t="s">
        <v>1012</v>
      </c>
      <c r="Z60" t="s">
        <v>17</v>
      </c>
      <c r="AA60" t="s">
        <v>14</v>
      </c>
    </row>
    <row r="61" spans="15:27" x14ac:dyDescent="0.35">
      <c r="O61">
        <v>10465</v>
      </c>
      <c r="P61" t="s">
        <v>196</v>
      </c>
      <c r="Q61" t="s">
        <v>670</v>
      </c>
      <c r="R61" t="s">
        <v>66</v>
      </c>
      <c r="S61" t="s">
        <v>11</v>
      </c>
      <c r="T61" t="s">
        <v>50</v>
      </c>
      <c r="U61">
        <v>5</v>
      </c>
      <c r="V61" s="10">
        <v>120000</v>
      </c>
      <c r="W61" s="10">
        <v>600000</v>
      </c>
      <c r="X61" s="11">
        <v>45801</v>
      </c>
      <c r="Y61" t="s">
        <v>1006</v>
      </c>
      <c r="Z61" t="s">
        <v>13</v>
      </c>
      <c r="AA61" t="s">
        <v>14</v>
      </c>
    </row>
    <row r="62" spans="15:27" x14ac:dyDescent="0.35">
      <c r="O62">
        <v>10239</v>
      </c>
      <c r="P62" t="s">
        <v>197</v>
      </c>
      <c r="Q62" t="s">
        <v>671</v>
      </c>
      <c r="R62" t="s">
        <v>82</v>
      </c>
      <c r="S62" t="s">
        <v>15</v>
      </c>
      <c r="T62" t="s">
        <v>73</v>
      </c>
      <c r="U62">
        <v>10</v>
      </c>
      <c r="V62" s="10">
        <v>120000</v>
      </c>
      <c r="W62" s="10">
        <v>1200000</v>
      </c>
      <c r="X62" s="11">
        <v>45842</v>
      </c>
      <c r="Y62" t="s">
        <v>1013</v>
      </c>
      <c r="Z62" t="s">
        <v>17</v>
      </c>
      <c r="AA62" t="s">
        <v>14</v>
      </c>
    </row>
    <row r="63" spans="15:27" x14ac:dyDescent="0.35">
      <c r="O63">
        <v>10329</v>
      </c>
      <c r="P63" t="s">
        <v>673</v>
      </c>
      <c r="Q63" t="s">
        <v>199</v>
      </c>
      <c r="R63" t="s">
        <v>63</v>
      </c>
      <c r="S63" t="s">
        <v>18</v>
      </c>
      <c r="T63" t="s">
        <v>26</v>
      </c>
      <c r="U63">
        <v>9</v>
      </c>
      <c r="V63" s="10">
        <v>25000</v>
      </c>
      <c r="W63" s="10">
        <v>225000</v>
      </c>
      <c r="X63" s="11">
        <v>45696</v>
      </c>
      <c r="Y63" t="s">
        <v>1011</v>
      </c>
      <c r="Z63" t="s">
        <v>40</v>
      </c>
      <c r="AA63" t="s">
        <v>14</v>
      </c>
    </row>
    <row r="64" spans="15:27" x14ac:dyDescent="0.35">
      <c r="O64">
        <v>10145</v>
      </c>
      <c r="P64" t="s">
        <v>679</v>
      </c>
      <c r="Q64" t="s">
        <v>680</v>
      </c>
      <c r="R64" t="s">
        <v>86</v>
      </c>
      <c r="S64" t="s">
        <v>29</v>
      </c>
      <c r="T64" t="s">
        <v>81</v>
      </c>
      <c r="U64">
        <v>6</v>
      </c>
      <c r="V64" s="10">
        <v>99000</v>
      </c>
      <c r="W64" s="10">
        <v>594000</v>
      </c>
      <c r="X64" s="11">
        <v>45797</v>
      </c>
      <c r="Y64" t="s">
        <v>1006</v>
      </c>
      <c r="Z64" t="s">
        <v>13</v>
      </c>
      <c r="AA64" t="s">
        <v>14</v>
      </c>
    </row>
    <row r="65" spans="15:27" x14ac:dyDescent="0.35">
      <c r="O65">
        <v>10228</v>
      </c>
      <c r="P65" t="s">
        <v>625</v>
      </c>
      <c r="Q65" t="s">
        <v>681</v>
      </c>
      <c r="R65" t="s">
        <v>63</v>
      </c>
      <c r="S65" t="s">
        <v>18</v>
      </c>
      <c r="T65" t="s">
        <v>70</v>
      </c>
      <c r="U65">
        <v>7</v>
      </c>
      <c r="V65" s="10">
        <v>250000</v>
      </c>
      <c r="W65" s="10">
        <v>1750000</v>
      </c>
      <c r="X65" s="11">
        <v>45747</v>
      </c>
      <c r="Y65" t="s">
        <v>1016</v>
      </c>
      <c r="Z65" t="s">
        <v>40</v>
      </c>
      <c r="AA65" t="s">
        <v>14</v>
      </c>
    </row>
    <row r="66" spans="15:27" x14ac:dyDescent="0.35">
      <c r="O66">
        <v>10138</v>
      </c>
      <c r="P66" t="s">
        <v>683</v>
      </c>
      <c r="Q66" t="s">
        <v>684</v>
      </c>
      <c r="R66" t="s">
        <v>148</v>
      </c>
      <c r="S66" t="s">
        <v>29</v>
      </c>
      <c r="T66" t="s">
        <v>64</v>
      </c>
      <c r="U66">
        <v>5</v>
      </c>
      <c r="V66" s="10">
        <v>25000</v>
      </c>
      <c r="W66" s="10">
        <v>125000</v>
      </c>
      <c r="X66" s="11">
        <v>45848</v>
      </c>
      <c r="Y66" t="s">
        <v>1013</v>
      </c>
      <c r="Z66" t="s">
        <v>36</v>
      </c>
      <c r="AA66" t="s">
        <v>14</v>
      </c>
    </row>
    <row r="67" spans="15:27" x14ac:dyDescent="0.35">
      <c r="O67">
        <v>10302</v>
      </c>
      <c r="P67" t="s">
        <v>149</v>
      </c>
      <c r="Q67" t="s">
        <v>203</v>
      </c>
      <c r="R67" t="s">
        <v>148</v>
      </c>
      <c r="S67" t="s">
        <v>34</v>
      </c>
      <c r="T67" t="s">
        <v>35</v>
      </c>
      <c r="U67">
        <v>10</v>
      </c>
      <c r="V67" s="10">
        <v>45000</v>
      </c>
      <c r="W67" s="10">
        <v>450000</v>
      </c>
      <c r="X67" s="11">
        <v>45908</v>
      </c>
      <c r="Y67" t="s">
        <v>1015</v>
      </c>
      <c r="Z67" t="s">
        <v>40</v>
      </c>
      <c r="AA67" t="s">
        <v>14</v>
      </c>
    </row>
    <row r="68" spans="15:27" x14ac:dyDescent="0.35">
      <c r="O68">
        <v>10273</v>
      </c>
      <c r="P68" t="s">
        <v>435</v>
      </c>
      <c r="Q68" t="s">
        <v>204</v>
      </c>
      <c r="R68" t="s">
        <v>46</v>
      </c>
      <c r="S68" t="s">
        <v>15</v>
      </c>
      <c r="T68" t="s">
        <v>16</v>
      </c>
      <c r="U68">
        <v>0</v>
      </c>
      <c r="V68" s="10">
        <v>75000</v>
      </c>
      <c r="W68" s="10">
        <v>0</v>
      </c>
      <c r="X68" s="11">
        <v>45944</v>
      </c>
      <c r="Y68" t="s">
        <v>1014</v>
      </c>
      <c r="Z68" t="s">
        <v>36</v>
      </c>
      <c r="AA68" t="s">
        <v>14</v>
      </c>
    </row>
    <row r="69" spans="15:27" x14ac:dyDescent="0.35">
      <c r="O69">
        <v>10426</v>
      </c>
      <c r="P69" t="s">
        <v>693</v>
      </c>
      <c r="Q69" t="s">
        <v>207</v>
      </c>
      <c r="R69" t="s">
        <v>46</v>
      </c>
      <c r="S69" t="s">
        <v>18</v>
      </c>
      <c r="T69" t="s">
        <v>70</v>
      </c>
      <c r="U69">
        <v>3</v>
      </c>
      <c r="V69" s="10">
        <v>120000</v>
      </c>
      <c r="W69" s="10">
        <v>360000</v>
      </c>
      <c r="X69" s="11">
        <v>45980</v>
      </c>
      <c r="Y69" t="s">
        <v>1009</v>
      </c>
      <c r="Z69" t="s">
        <v>24</v>
      </c>
      <c r="AA69" t="s">
        <v>14</v>
      </c>
    </row>
    <row r="70" spans="15:27" x14ac:dyDescent="0.35">
      <c r="O70">
        <v>10076</v>
      </c>
      <c r="P70" t="s">
        <v>699</v>
      </c>
      <c r="Q70" t="s">
        <v>210</v>
      </c>
      <c r="R70" t="s">
        <v>46</v>
      </c>
      <c r="S70" t="s">
        <v>15</v>
      </c>
      <c r="T70" t="s">
        <v>16</v>
      </c>
      <c r="U70">
        <v>5</v>
      </c>
      <c r="V70" s="10">
        <v>45000</v>
      </c>
      <c r="W70" s="10">
        <v>225000</v>
      </c>
      <c r="X70" s="11">
        <v>45812</v>
      </c>
      <c r="Y70" t="s">
        <v>1007</v>
      </c>
      <c r="Z70" t="s">
        <v>24</v>
      </c>
      <c r="AA70" t="s">
        <v>14</v>
      </c>
    </row>
    <row r="71" spans="15:27" x14ac:dyDescent="0.35">
      <c r="O71">
        <v>10268</v>
      </c>
      <c r="P71" t="s">
        <v>196</v>
      </c>
      <c r="Q71" t="s">
        <v>711</v>
      </c>
      <c r="R71" t="s">
        <v>86</v>
      </c>
      <c r="S71" t="s">
        <v>15</v>
      </c>
      <c r="T71" t="s">
        <v>73</v>
      </c>
      <c r="U71">
        <v>3</v>
      </c>
      <c r="V71" s="10">
        <v>25000</v>
      </c>
      <c r="W71" s="10">
        <v>75000</v>
      </c>
      <c r="X71" s="11">
        <v>45725</v>
      </c>
      <c r="Y71" t="s">
        <v>1016</v>
      </c>
      <c r="Z71" t="s">
        <v>36</v>
      </c>
      <c r="AA71" t="s">
        <v>14</v>
      </c>
    </row>
    <row r="72" spans="15:27" x14ac:dyDescent="0.35">
      <c r="O72">
        <v>10363</v>
      </c>
      <c r="P72" t="s">
        <v>214</v>
      </c>
      <c r="Q72" t="s">
        <v>712</v>
      </c>
      <c r="R72" t="s">
        <v>117</v>
      </c>
      <c r="S72" t="s">
        <v>18</v>
      </c>
      <c r="T72" t="s">
        <v>19</v>
      </c>
      <c r="U72">
        <v>7</v>
      </c>
      <c r="V72" s="10">
        <v>250000</v>
      </c>
      <c r="W72" s="10">
        <v>1750000</v>
      </c>
      <c r="X72" s="11">
        <v>45846</v>
      </c>
      <c r="Y72" t="s">
        <v>1013</v>
      </c>
      <c r="Z72" t="s">
        <v>24</v>
      </c>
      <c r="AA72" t="s">
        <v>14</v>
      </c>
    </row>
    <row r="73" spans="15:27" x14ac:dyDescent="0.35">
      <c r="O73">
        <v>10333</v>
      </c>
      <c r="P73" t="s">
        <v>219</v>
      </c>
      <c r="Q73" t="s">
        <v>220</v>
      </c>
      <c r="R73" t="s">
        <v>148</v>
      </c>
      <c r="S73" t="s">
        <v>15</v>
      </c>
      <c r="T73" t="s">
        <v>49</v>
      </c>
      <c r="U73">
        <v>4</v>
      </c>
      <c r="V73" s="10">
        <v>150000</v>
      </c>
      <c r="W73" s="10">
        <v>600000</v>
      </c>
      <c r="X73" s="11">
        <v>45774</v>
      </c>
      <c r="Y73" t="s">
        <v>1012</v>
      </c>
      <c r="Z73" t="s">
        <v>40</v>
      </c>
      <c r="AA73" t="s">
        <v>14</v>
      </c>
    </row>
    <row r="74" spans="15:27" x14ac:dyDescent="0.35">
      <c r="O74">
        <v>10260</v>
      </c>
      <c r="P74" t="s">
        <v>476</v>
      </c>
      <c r="Q74" t="s">
        <v>224</v>
      </c>
      <c r="R74" t="s">
        <v>66</v>
      </c>
      <c r="S74" t="s">
        <v>11</v>
      </c>
      <c r="T74" t="s">
        <v>50</v>
      </c>
      <c r="U74">
        <v>3</v>
      </c>
      <c r="V74" s="10">
        <v>75000</v>
      </c>
      <c r="W74" s="10">
        <v>225000</v>
      </c>
      <c r="X74" s="11">
        <v>45859</v>
      </c>
      <c r="Y74" t="s">
        <v>1013</v>
      </c>
      <c r="Z74" t="s">
        <v>36</v>
      </c>
      <c r="AA74" t="s">
        <v>14</v>
      </c>
    </row>
    <row r="75" spans="15:27" x14ac:dyDescent="0.35">
      <c r="O75">
        <v>10477</v>
      </c>
      <c r="P75" t="s">
        <v>197</v>
      </c>
      <c r="Q75" t="s">
        <v>227</v>
      </c>
      <c r="R75" t="s">
        <v>86</v>
      </c>
      <c r="S75" t="s">
        <v>29</v>
      </c>
      <c r="T75" t="s">
        <v>64</v>
      </c>
      <c r="U75">
        <v>8</v>
      </c>
      <c r="V75" s="10">
        <v>250000</v>
      </c>
      <c r="W75" s="10">
        <v>2000000</v>
      </c>
      <c r="X75" s="11">
        <v>45846</v>
      </c>
      <c r="Y75" t="s">
        <v>1013</v>
      </c>
      <c r="Z75" t="s">
        <v>17</v>
      </c>
      <c r="AA75" t="s">
        <v>14</v>
      </c>
    </row>
    <row r="76" spans="15:27" x14ac:dyDescent="0.35">
      <c r="O76">
        <v>10567</v>
      </c>
      <c r="P76" t="s">
        <v>194</v>
      </c>
      <c r="Q76" t="s">
        <v>728</v>
      </c>
      <c r="R76" t="s">
        <v>82</v>
      </c>
      <c r="S76" t="s">
        <v>34</v>
      </c>
      <c r="T76" t="s">
        <v>47</v>
      </c>
      <c r="U76">
        <v>2</v>
      </c>
      <c r="V76" s="10">
        <v>35000</v>
      </c>
      <c r="W76" s="10">
        <v>70000</v>
      </c>
      <c r="X76" s="11">
        <v>45895</v>
      </c>
      <c r="Y76" t="s">
        <v>1008</v>
      </c>
      <c r="Z76" t="s">
        <v>17</v>
      </c>
      <c r="AA76" t="s">
        <v>14</v>
      </c>
    </row>
    <row r="77" spans="15:27" x14ac:dyDescent="0.35">
      <c r="O77">
        <v>10486</v>
      </c>
      <c r="P77" t="s">
        <v>115</v>
      </c>
      <c r="Q77" t="s">
        <v>733</v>
      </c>
      <c r="R77" t="s">
        <v>46</v>
      </c>
      <c r="S77" t="s">
        <v>11</v>
      </c>
      <c r="T77" t="s">
        <v>50</v>
      </c>
      <c r="U77">
        <v>3</v>
      </c>
      <c r="V77" s="10">
        <v>250000</v>
      </c>
      <c r="W77" s="10">
        <v>750000</v>
      </c>
      <c r="X77" s="11">
        <v>45895</v>
      </c>
      <c r="Y77" t="s">
        <v>1008</v>
      </c>
      <c r="Z77" t="s">
        <v>24</v>
      </c>
      <c r="AA77" t="s">
        <v>14</v>
      </c>
    </row>
    <row r="78" spans="15:27" x14ac:dyDescent="0.35">
      <c r="O78">
        <v>10550</v>
      </c>
      <c r="P78" t="s">
        <v>232</v>
      </c>
      <c r="Q78" t="s">
        <v>233</v>
      </c>
      <c r="R78" t="s">
        <v>46</v>
      </c>
      <c r="S78" t="s">
        <v>11</v>
      </c>
      <c r="T78" t="s">
        <v>61</v>
      </c>
      <c r="U78">
        <v>5</v>
      </c>
      <c r="V78" s="10">
        <v>250000</v>
      </c>
      <c r="W78" s="10">
        <v>1250000</v>
      </c>
      <c r="X78" s="11">
        <v>45880</v>
      </c>
      <c r="Y78" t="s">
        <v>1008</v>
      </c>
      <c r="Z78" t="s">
        <v>24</v>
      </c>
      <c r="AA78" t="s">
        <v>14</v>
      </c>
    </row>
    <row r="79" spans="15:27" x14ac:dyDescent="0.35">
      <c r="O79">
        <v>10456</v>
      </c>
      <c r="P79" t="s">
        <v>620</v>
      </c>
      <c r="Q79" t="s">
        <v>236</v>
      </c>
      <c r="R79" t="s">
        <v>82</v>
      </c>
      <c r="S79" t="s">
        <v>18</v>
      </c>
      <c r="T79" t="s">
        <v>57</v>
      </c>
      <c r="U79">
        <v>7</v>
      </c>
      <c r="V79" s="10">
        <v>15000</v>
      </c>
      <c r="W79" s="10">
        <v>105000</v>
      </c>
      <c r="X79" s="11">
        <v>45973</v>
      </c>
      <c r="Y79" t="s">
        <v>1009</v>
      </c>
      <c r="Z79" t="s">
        <v>36</v>
      </c>
      <c r="AA79" t="s">
        <v>14</v>
      </c>
    </row>
    <row r="80" spans="15:27" x14ac:dyDescent="0.35">
      <c r="O80">
        <v>10538</v>
      </c>
      <c r="P80" t="s">
        <v>125</v>
      </c>
      <c r="Q80" t="s">
        <v>238</v>
      </c>
      <c r="R80" t="s">
        <v>23</v>
      </c>
      <c r="S80" t="s">
        <v>34</v>
      </c>
      <c r="T80" t="s">
        <v>35</v>
      </c>
      <c r="U80">
        <v>6</v>
      </c>
      <c r="V80" s="10">
        <v>99000</v>
      </c>
      <c r="W80" s="10">
        <v>594000</v>
      </c>
      <c r="X80" s="11">
        <v>45948</v>
      </c>
      <c r="Y80" t="s">
        <v>1014</v>
      </c>
      <c r="Z80" t="s">
        <v>13</v>
      </c>
      <c r="AA80" t="s">
        <v>14</v>
      </c>
    </row>
    <row r="81" spans="15:27" x14ac:dyDescent="0.35">
      <c r="O81">
        <v>10504</v>
      </c>
      <c r="P81" t="s">
        <v>762</v>
      </c>
      <c r="Q81" t="s">
        <v>763</v>
      </c>
      <c r="R81" t="s">
        <v>82</v>
      </c>
      <c r="S81" t="s">
        <v>18</v>
      </c>
      <c r="T81" t="s">
        <v>26</v>
      </c>
      <c r="U81">
        <v>1</v>
      </c>
      <c r="V81" s="10">
        <v>35000</v>
      </c>
      <c r="W81" s="10">
        <v>35000</v>
      </c>
      <c r="X81" s="11">
        <v>45925</v>
      </c>
      <c r="Y81" t="s">
        <v>1015</v>
      </c>
      <c r="Z81" t="s">
        <v>17</v>
      </c>
      <c r="AA81" t="s">
        <v>14</v>
      </c>
    </row>
    <row r="82" spans="15:27" x14ac:dyDescent="0.35">
      <c r="O82">
        <v>10395</v>
      </c>
      <c r="P82" t="s">
        <v>603</v>
      </c>
      <c r="Q82" t="s">
        <v>241</v>
      </c>
      <c r="R82" t="s">
        <v>82</v>
      </c>
      <c r="S82" t="s">
        <v>15</v>
      </c>
      <c r="T82" t="s">
        <v>16</v>
      </c>
      <c r="U82">
        <v>6</v>
      </c>
      <c r="V82" s="10">
        <v>99000</v>
      </c>
      <c r="W82" s="10">
        <v>594000</v>
      </c>
      <c r="X82" s="11">
        <v>45866</v>
      </c>
      <c r="Y82" t="s">
        <v>1013</v>
      </c>
      <c r="Z82" t="s">
        <v>17</v>
      </c>
      <c r="AA82" t="s">
        <v>14</v>
      </c>
    </row>
    <row r="83" spans="15:27" x14ac:dyDescent="0.35">
      <c r="O83">
        <v>10523</v>
      </c>
      <c r="P83" t="s">
        <v>767</v>
      </c>
      <c r="Q83" t="s">
        <v>768</v>
      </c>
      <c r="R83" t="s">
        <v>59</v>
      </c>
      <c r="S83" t="s">
        <v>29</v>
      </c>
      <c r="T83" t="s">
        <v>67</v>
      </c>
      <c r="U83">
        <v>10</v>
      </c>
      <c r="V83" s="10">
        <v>99000</v>
      </c>
      <c r="W83" s="10">
        <v>990000</v>
      </c>
      <c r="X83" s="11">
        <v>45842</v>
      </c>
      <c r="Y83" t="s">
        <v>1013</v>
      </c>
      <c r="Z83" t="s">
        <v>36</v>
      </c>
      <c r="AA83" t="s">
        <v>14</v>
      </c>
    </row>
    <row r="84" spans="15:27" x14ac:dyDescent="0.35">
      <c r="O84">
        <v>10446</v>
      </c>
      <c r="P84" t="s">
        <v>242</v>
      </c>
      <c r="Q84" t="s">
        <v>243</v>
      </c>
      <c r="R84" t="s">
        <v>82</v>
      </c>
      <c r="S84" t="s">
        <v>15</v>
      </c>
      <c r="T84" t="s">
        <v>73</v>
      </c>
      <c r="U84">
        <v>8</v>
      </c>
      <c r="V84" s="10">
        <v>75000</v>
      </c>
      <c r="W84" s="10">
        <v>600000</v>
      </c>
      <c r="X84" s="11">
        <v>45663</v>
      </c>
      <c r="Y84" t="s">
        <v>1005</v>
      </c>
      <c r="Z84" t="s">
        <v>24</v>
      </c>
      <c r="AA84" t="s">
        <v>14</v>
      </c>
    </row>
    <row r="85" spans="15:27" x14ac:dyDescent="0.35">
      <c r="O85">
        <v>10247</v>
      </c>
      <c r="P85" t="s">
        <v>545</v>
      </c>
      <c r="Q85" t="s">
        <v>436</v>
      </c>
      <c r="R85" t="s">
        <v>46</v>
      </c>
      <c r="S85" t="s">
        <v>18</v>
      </c>
      <c r="T85" t="s">
        <v>70</v>
      </c>
      <c r="U85">
        <v>1</v>
      </c>
      <c r="V85" s="10">
        <v>75000</v>
      </c>
      <c r="W85" s="10">
        <v>75000</v>
      </c>
      <c r="X85" s="11">
        <v>45771</v>
      </c>
      <c r="Y85" t="s">
        <v>1012</v>
      </c>
      <c r="Z85" t="s">
        <v>13</v>
      </c>
      <c r="AA85" t="s">
        <v>14</v>
      </c>
    </row>
    <row r="86" spans="15:27" x14ac:dyDescent="0.35">
      <c r="O86">
        <v>10501</v>
      </c>
      <c r="P86" t="s">
        <v>254</v>
      </c>
      <c r="Q86" t="s">
        <v>255</v>
      </c>
      <c r="R86" t="s">
        <v>117</v>
      </c>
      <c r="S86" t="s">
        <v>18</v>
      </c>
      <c r="T86" t="s">
        <v>19</v>
      </c>
      <c r="U86">
        <v>1</v>
      </c>
      <c r="V86" s="10">
        <v>199000</v>
      </c>
      <c r="W86" s="10">
        <v>199000</v>
      </c>
      <c r="X86" s="11">
        <v>46020</v>
      </c>
      <c r="Y86" t="s">
        <v>1010</v>
      </c>
      <c r="Z86" t="s">
        <v>13</v>
      </c>
      <c r="AA86" t="s">
        <v>14</v>
      </c>
    </row>
    <row r="87" spans="15:27" x14ac:dyDescent="0.35">
      <c r="O87">
        <v>10563</v>
      </c>
      <c r="P87" t="s">
        <v>557</v>
      </c>
      <c r="Q87" t="s">
        <v>796</v>
      </c>
      <c r="R87" t="s">
        <v>46</v>
      </c>
      <c r="S87" t="s">
        <v>15</v>
      </c>
      <c r="T87" t="s">
        <v>55</v>
      </c>
      <c r="U87">
        <v>3</v>
      </c>
      <c r="V87" s="10">
        <v>120000</v>
      </c>
      <c r="W87" s="10">
        <v>360000</v>
      </c>
      <c r="X87" s="11">
        <v>45663</v>
      </c>
      <c r="Y87" t="s">
        <v>1005</v>
      </c>
      <c r="Z87" t="s">
        <v>24</v>
      </c>
      <c r="AA87" t="s">
        <v>14</v>
      </c>
    </row>
    <row r="88" spans="15:27" x14ac:dyDescent="0.35">
      <c r="O88">
        <v>10516</v>
      </c>
      <c r="P88" t="s">
        <v>797</v>
      </c>
      <c r="Q88" t="s">
        <v>258</v>
      </c>
      <c r="R88" t="s">
        <v>23</v>
      </c>
      <c r="S88" t="s">
        <v>11</v>
      </c>
      <c r="T88" t="s">
        <v>71</v>
      </c>
      <c r="U88">
        <v>3</v>
      </c>
      <c r="V88" s="10">
        <v>250000</v>
      </c>
      <c r="W88" s="10">
        <v>750000</v>
      </c>
      <c r="X88" s="11">
        <v>45815</v>
      </c>
      <c r="Y88" t="s">
        <v>1007</v>
      </c>
      <c r="Z88" t="s">
        <v>13</v>
      </c>
      <c r="AA88" t="s">
        <v>14</v>
      </c>
    </row>
    <row r="89" spans="15:27" x14ac:dyDescent="0.35">
      <c r="O89">
        <v>10246</v>
      </c>
      <c r="P89" t="s">
        <v>798</v>
      </c>
      <c r="Q89" t="s">
        <v>259</v>
      </c>
      <c r="R89" t="s">
        <v>86</v>
      </c>
      <c r="S89" t="s">
        <v>15</v>
      </c>
      <c r="T89" t="s">
        <v>73</v>
      </c>
      <c r="U89">
        <v>2</v>
      </c>
      <c r="V89" s="10">
        <v>25000</v>
      </c>
      <c r="W89" s="10">
        <v>50000</v>
      </c>
      <c r="X89" s="11">
        <v>45925</v>
      </c>
      <c r="Y89" t="s">
        <v>1015</v>
      </c>
      <c r="Z89" t="s">
        <v>24</v>
      </c>
      <c r="AA89" t="s">
        <v>14</v>
      </c>
    </row>
    <row r="90" spans="15:27" x14ac:dyDescent="0.35">
      <c r="O90">
        <v>10331</v>
      </c>
      <c r="P90" t="s">
        <v>803</v>
      </c>
      <c r="Q90" t="s">
        <v>261</v>
      </c>
      <c r="R90" t="s">
        <v>33</v>
      </c>
      <c r="S90" t="s">
        <v>29</v>
      </c>
      <c r="T90" t="s">
        <v>81</v>
      </c>
      <c r="U90">
        <v>5</v>
      </c>
      <c r="V90" s="10">
        <v>250000</v>
      </c>
      <c r="W90" s="10">
        <v>1250000</v>
      </c>
      <c r="X90" s="11">
        <v>45809</v>
      </c>
      <c r="Y90" t="s">
        <v>1007</v>
      </c>
      <c r="Z90" t="s">
        <v>24</v>
      </c>
      <c r="AA90" t="s">
        <v>14</v>
      </c>
    </row>
    <row r="91" spans="15:27" x14ac:dyDescent="0.35">
      <c r="O91">
        <v>10133</v>
      </c>
      <c r="P91" t="s">
        <v>568</v>
      </c>
      <c r="Q91" t="s">
        <v>806</v>
      </c>
      <c r="R91" t="s">
        <v>63</v>
      </c>
      <c r="S91" t="s">
        <v>18</v>
      </c>
      <c r="T91" t="s">
        <v>57</v>
      </c>
      <c r="U91">
        <v>8</v>
      </c>
      <c r="V91" s="10">
        <v>150000</v>
      </c>
      <c r="W91" s="10">
        <v>1200000</v>
      </c>
      <c r="X91" s="11">
        <v>45769</v>
      </c>
      <c r="Y91" t="s">
        <v>1012</v>
      </c>
      <c r="Z91" t="s">
        <v>40</v>
      </c>
      <c r="AA91" t="s">
        <v>14</v>
      </c>
    </row>
    <row r="92" spans="15:27" x14ac:dyDescent="0.35">
      <c r="O92">
        <v>10208</v>
      </c>
      <c r="P92" t="s">
        <v>630</v>
      </c>
      <c r="Q92" t="s">
        <v>809</v>
      </c>
      <c r="R92" t="s">
        <v>148</v>
      </c>
      <c r="S92" t="s">
        <v>34</v>
      </c>
      <c r="T92" t="s">
        <v>45</v>
      </c>
      <c r="U92">
        <v>2</v>
      </c>
      <c r="V92" s="10">
        <v>25000</v>
      </c>
      <c r="W92" s="10">
        <v>50000</v>
      </c>
      <c r="X92" s="11">
        <v>45667</v>
      </c>
      <c r="Y92" t="s">
        <v>1005</v>
      </c>
      <c r="Z92" t="s">
        <v>13</v>
      </c>
      <c r="AA92" t="s">
        <v>14</v>
      </c>
    </row>
    <row r="93" spans="15:27" x14ac:dyDescent="0.35">
      <c r="O93">
        <v>10369</v>
      </c>
      <c r="P93" t="s">
        <v>817</v>
      </c>
      <c r="Q93" t="s">
        <v>818</v>
      </c>
      <c r="R93" t="s">
        <v>117</v>
      </c>
      <c r="S93" t="s">
        <v>18</v>
      </c>
      <c r="T93" t="s">
        <v>26</v>
      </c>
      <c r="U93">
        <v>10</v>
      </c>
      <c r="V93" s="10">
        <v>250000</v>
      </c>
      <c r="W93" s="10">
        <v>2500000</v>
      </c>
      <c r="X93" s="11">
        <v>45907</v>
      </c>
      <c r="Y93" t="s">
        <v>1015</v>
      </c>
      <c r="Z93" t="s">
        <v>36</v>
      </c>
      <c r="AA93" t="s">
        <v>14</v>
      </c>
    </row>
    <row r="94" spans="15:27" x14ac:dyDescent="0.35">
      <c r="O94">
        <v>10169</v>
      </c>
      <c r="P94" t="s">
        <v>315</v>
      </c>
      <c r="Q94" t="s">
        <v>820</v>
      </c>
      <c r="R94" t="s">
        <v>148</v>
      </c>
      <c r="S94" t="s">
        <v>18</v>
      </c>
      <c r="T94" t="s">
        <v>52</v>
      </c>
      <c r="U94">
        <v>1</v>
      </c>
      <c r="V94" s="10">
        <v>99000</v>
      </c>
      <c r="W94" s="10">
        <v>99000</v>
      </c>
      <c r="X94" s="11">
        <v>45827</v>
      </c>
      <c r="Y94" t="s">
        <v>1007</v>
      </c>
      <c r="Z94" t="s">
        <v>36</v>
      </c>
      <c r="AA94" t="s">
        <v>14</v>
      </c>
    </row>
    <row r="95" spans="15:27" x14ac:dyDescent="0.35">
      <c r="O95">
        <v>10407</v>
      </c>
      <c r="P95" t="s">
        <v>217</v>
      </c>
      <c r="Q95" t="s">
        <v>826</v>
      </c>
      <c r="R95" t="s">
        <v>82</v>
      </c>
      <c r="S95" t="s">
        <v>15</v>
      </c>
      <c r="T95" t="s">
        <v>49</v>
      </c>
      <c r="U95">
        <v>5</v>
      </c>
      <c r="V95" s="10">
        <v>199000</v>
      </c>
      <c r="W95" s="10">
        <v>995000</v>
      </c>
      <c r="X95" s="11">
        <v>45863</v>
      </c>
      <c r="Y95" t="s">
        <v>1013</v>
      </c>
      <c r="Z95" t="s">
        <v>13</v>
      </c>
      <c r="AA95" t="s">
        <v>14</v>
      </c>
    </row>
    <row r="96" spans="15:27" x14ac:dyDescent="0.35">
      <c r="O96">
        <v>10308</v>
      </c>
      <c r="P96" t="s">
        <v>830</v>
      </c>
      <c r="Q96" t="s">
        <v>276</v>
      </c>
      <c r="R96" t="s">
        <v>23</v>
      </c>
      <c r="S96" t="s">
        <v>11</v>
      </c>
      <c r="T96" t="s">
        <v>61</v>
      </c>
      <c r="U96">
        <v>10</v>
      </c>
      <c r="V96" s="10">
        <v>120000</v>
      </c>
      <c r="W96" s="10">
        <v>1200000</v>
      </c>
      <c r="X96" s="11">
        <v>45680</v>
      </c>
      <c r="Y96" t="s">
        <v>1005</v>
      </c>
      <c r="Z96" t="s">
        <v>24</v>
      </c>
      <c r="AA96" t="s">
        <v>14</v>
      </c>
    </row>
    <row r="97" spans="15:27" x14ac:dyDescent="0.35">
      <c r="O97">
        <v>10295</v>
      </c>
      <c r="P97" t="s">
        <v>97</v>
      </c>
      <c r="Q97" t="s">
        <v>436</v>
      </c>
      <c r="R97" t="s">
        <v>59</v>
      </c>
      <c r="S97" t="s">
        <v>34</v>
      </c>
      <c r="T97" t="s">
        <v>45</v>
      </c>
      <c r="U97">
        <v>9</v>
      </c>
      <c r="V97" s="10">
        <v>15000</v>
      </c>
      <c r="W97" s="10">
        <v>135000</v>
      </c>
      <c r="X97" s="11">
        <v>45973</v>
      </c>
      <c r="Y97" t="s">
        <v>1009</v>
      </c>
      <c r="Z97" t="s">
        <v>24</v>
      </c>
      <c r="AA97" t="s">
        <v>14</v>
      </c>
    </row>
    <row r="98" spans="15:27" x14ac:dyDescent="0.35">
      <c r="O98">
        <v>10067</v>
      </c>
      <c r="P98" t="s">
        <v>839</v>
      </c>
      <c r="Q98" t="s">
        <v>436</v>
      </c>
      <c r="R98" t="s">
        <v>46</v>
      </c>
      <c r="S98" t="s">
        <v>11</v>
      </c>
      <c r="T98" t="s">
        <v>39</v>
      </c>
      <c r="U98">
        <v>2</v>
      </c>
      <c r="V98" s="10">
        <v>50000</v>
      </c>
      <c r="W98" s="10">
        <v>100000</v>
      </c>
      <c r="X98" s="11">
        <v>45894</v>
      </c>
      <c r="Y98" t="s">
        <v>1008</v>
      </c>
      <c r="Z98" t="s">
        <v>40</v>
      </c>
      <c r="AA98" t="s">
        <v>14</v>
      </c>
    </row>
    <row r="99" spans="15:27" x14ac:dyDescent="0.35">
      <c r="O99">
        <v>10364</v>
      </c>
      <c r="P99" t="s">
        <v>702</v>
      </c>
      <c r="Q99" t="s">
        <v>840</v>
      </c>
      <c r="R99" t="s">
        <v>148</v>
      </c>
      <c r="S99" t="s">
        <v>11</v>
      </c>
      <c r="T99" t="s">
        <v>50</v>
      </c>
      <c r="U99">
        <v>9</v>
      </c>
      <c r="V99" s="10">
        <v>99000</v>
      </c>
      <c r="W99" s="10">
        <v>891000</v>
      </c>
      <c r="X99" s="11">
        <v>45663</v>
      </c>
      <c r="Y99" t="s">
        <v>1005</v>
      </c>
      <c r="Z99" t="s">
        <v>13</v>
      </c>
      <c r="AA99" t="s">
        <v>14</v>
      </c>
    </row>
    <row r="100" spans="15:27" x14ac:dyDescent="0.35">
      <c r="O100">
        <v>10282</v>
      </c>
      <c r="P100" t="s">
        <v>851</v>
      </c>
      <c r="Q100" t="s">
        <v>852</v>
      </c>
      <c r="R100" t="s">
        <v>46</v>
      </c>
      <c r="S100" t="s">
        <v>18</v>
      </c>
      <c r="T100" t="s">
        <v>57</v>
      </c>
      <c r="U100">
        <v>7</v>
      </c>
      <c r="V100" s="10">
        <v>25000</v>
      </c>
      <c r="W100" s="10">
        <v>175000</v>
      </c>
      <c r="X100" s="11">
        <v>45824</v>
      </c>
      <c r="Y100" t="s">
        <v>1007</v>
      </c>
      <c r="Z100" t="s">
        <v>13</v>
      </c>
      <c r="AA100" t="s">
        <v>14</v>
      </c>
    </row>
    <row r="101" spans="15:27" x14ac:dyDescent="0.35">
      <c r="O101">
        <v>10466</v>
      </c>
      <c r="P101" t="s">
        <v>591</v>
      </c>
      <c r="Q101" t="s">
        <v>286</v>
      </c>
      <c r="R101" t="s">
        <v>63</v>
      </c>
      <c r="S101" t="s">
        <v>11</v>
      </c>
      <c r="T101" t="s">
        <v>50</v>
      </c>
      <c r="U101">
        <v>5</v>
      </c>
      <c r="V101" s="10">
        <v>45000</v>
      </c>
      <c r="W101" s="10">
        <v>225000</v>
      </c>
      <c r="X101" s="11">
        <v>45957</v>
      </c>
      <c r="Y101" t="s">
        <v>1014</v>
      </c>
      <c r="Z101" t="s">
        <v>40</v>
      </c>
      <c r="AA101" t="s">
        <v>14</v>
      </c>
    </row>
    <row r="102" spans="15:27" x14ac:dyDescent="0.35">
      <c r="O102">
        <v>10320</v>
      </c>
      <c r="P102" t="s">
        <v>692</v>
      </c>
      <c r="Q102" t="s">
        <v>859</v>
      </c>
      <c r="R102" t="s">
        <v>148</v>
      </c>
      <c r="S102" t="s">
        <v>15</v>
      </c>
      <c r="T102" t="s">
        <v>55</v>
      </c>
      <c r="U102">
        <v>3</v>
      </c>
      <c r="V102" s="10">
        <v>150000</v>
      </c>
      <c r="W102" s="10">
        <v>450000</v>
      </c>
      <c r="X102" s="11">
        <v>45812</v>
      </c>
      <c r="Y102" t="s">
        <v>1007</v>
      </c>
      <c r="Z102" t="s">
        <v>24</v>
      </c>
      <c r="AA102" t="s">
        <v>14</v>
      </c>
    </row>
    <row r="103" spans="15:27" x14ac:dyDescent="0.35">
      <c r="O103">
        <v>10484</v>
      </c>
      <c r="P103" t="s">
        <v>289</v>
      </c>
      <c r="Q103" t="s">
        <v>290</v>
      </c>
      <c r="R103" t="s">
        <v>23</v>
      </c>
      <c r="S103" t="s">
        <v>34</v>
      </c>
      <c r="T103" t="s">
        <v>77</v>
      </c>
      <c r="U103">
        <v>2</v>
      </c>
      <c r="V103" s="10">
        <v>25000</v>
      </c>
      <c r="W103" s="10">
        <v>50000</v>
      </c>
      <c r="X103" s="11">
        <v>45766</v>
      </c>
      <c r="Y103" t="s">
        <v>1012</v>
      </c>
      <c r="Z103" t="s">
        <v>13</v>
      </c>
      <c r="AA103" t="s">
        <v>14</v>
      </c>
    </row>
    <row r="104" spans="15:27" x14ac:dyDescent="0.35">
      <c r="O104">
        <v>10474</v>
      </c>
      <c r="P104" t="s">
        <v>668</v>
      </c>
      <c r="Q104" t="s">
        <v>294</v>
      </c>
      <c r="R104" t="s">
        <v>148</v>
      </c>
      <c r="S104" t="s">
        <v>18</v>
      </c>
      <c r="T104" t="s">
        <v>57</v>
      </c>
      <c r="U104">
        <v>1</v>
      </c>
      <c r="V104" s="10">
        <v>25000</v>
      </c>
      <c r="W104" s="10">
        <v>25000</v>
      </c>
      <c r="X104" s="11">
        <v>45935</v>
      </c>
      <c r="Y104" t="s">
        <v>1014</v>
      </c>
      <c r="Z104" t="s">
        <v>17</v>
      </c>
      <c r="AA104" t="s">
        <v>14</v>
      </c>
    </row>
    <row r="105" spans="15:27" x14ac:dyDescent="0.35">
      <c r="O105">
        <v>10166</v>
      </c>
      <c r="P105" t="s">
        <v>861</v>
      </c>
      <c r="Q105" t="s">
        <v>862</v>
      </c>
      <c r="R105" t="s">
        <v>63</v>
      </c>
      <c r="S105" t="s">
        <v>18</v>
      </c>
      <c r="T105" t="s">
        <v>52</v>
      </c>
      <c r="U105">
        <v>10</v>
      </c>
      <c r="V105" s="10">
        <v>45000</v>
      </c>
      <c r="W105" s="10">
        <v>450000</v>
      </c>
      <c r="X105" s="11">
        <v>45901</v>
      </c>
      <c r="Y105" t="s">
        <v>1015</v>
      </c>
      <c r="Z105" t="s">
        <v>17</v>
      </c>
      <c r="AA105" t="s">
        <v>14</v>
      </c>
    </row>
    <row r="106" spans="15:27" x14ac:dyDescent="0.35">
      <c r="O106">
        <v>10464</v>
      </c>
      <c r="P106" t="s">
        <v>455</v>
      </c>
      <c r="Q106" t="s">
        <v>880</v>
      </c>
      <c r="R106" t="s">
        <v>117</v>
      </c>
      <c r="S106" t="s">
        <v>11</v>
      </c>
      <c r="T106" t="s">
        <v>50</v>
      </c>
      <c r="U106">
        <v>4</v>
      </c>
      <c r="V106" s="10">
        <v>75000</v>
      </c>
      <c r="W106" s="10">
        <v>300000</v>
      </c>
      <c r="X106" s="11">
        <v>45846</v>
      </c>
      <c r="Y106" t="s">
        <v>1013</v>
      </c>
      <c r="Z106" t="s">
        <v>40</v>
      </c>
      <c r="AA106" t="s">
        <v>14</v>
      </c>
    </row>
    <row r="107" spans="15:27" x14ac:dyDescent="0.35">
      <c r="O107">
        <v>10349</v>
      </c>
      <c r="P107" t="s">
        <v>881</v>
      </c>
      <c r="Q107" t="s">
        <v>882</v>
      </c>
      <c r="R107" t="s">
        <v>82</v>
      </c>
      <c r="S107" t="s">
        <v>11</v>
      </c>
      <c r="T107" t="s">
        <v>61</v>
      </c>
      <c r="U107">
        <v>1</v>
      </c>
      <c r="V107" s="10">
        <v>250000</v>
      </c>
      <c r="W107" s="10">
        <v>250000</v>
      </c>
      <c r="X107" s="11">
        <v>45968</v>
      </c>
      <c r="Y107" t="s">
        <v>1009</v>
      </c>
      <c r="Z107" t="s">
        <v>24</v>
      </c>
      <c r="AA107" t="s">
        <v>14</v>
      </c>
    </row>
    <row r="108" spans="15:27" x14ac:dyDescent="0.35">
      <c r="O108">
        <v>10594</v>
      </c>
      <c r="P108" t="s">
        <v>817</v>
      </c>
      <c r="Q108" t="s">
        <v>308</v>
      </c>
      <c r="R108" t="s">
        <v>63</v>
      </c>
      <c r="S108" t="s">
        <v>15</v>
      </c>
      <c r="T108" t="s">
        <v>49</v>
      </c>
      <c r="U108">
        <v>5</v>
      </c>
      <c r="V108" s="10">
        <v>199000</v>
      </c>
      <c r="W108" s="10">
        <v>995000</v>
      </c>
      <c r="X108" s="11">
        <v>45863</v>
      </c>
      <c r="Y108" t="s">
        <v>1013</v>
      </c>
      <c r="Z108" t="s">
        <v>13</v>
      </c>
      <c r="AA108" t="s">
        <v>14</v>
      </c>
    </row>
    <row r="109" spans="15:27" x14ac:dyDescent="0.35">
      <c r="O109">
        <v>10237</v>
      </c>
      <c r="P109" t="s">
        <v>881</v>
      </c>
      <c r="Q109" t="s">
        <v>316</v>
      </c>
      <c r="R109" t="s">
        <v>66</v>
      </c>
      <c r="S109" t="s">
        <v>18</v>
      </c>
      <c r="T109" t="s">
        <v>19</v>
      </c>
      <c r="U109">
        <v>6</v>
      </c>
      <c r="V109" s="10">
        <v>50000</v>
      </c>
      <c r="W109" s="10">
        <v>300000</v>
      </c>
      <c r="X109" s="11">
        <v>45898</v>
      </c>
      <c r="Y109" t="s">
        <v>1008</v>
      </c>
      <c r="Z109" t="s">
        <v>13</v>
      </c>
      <c r="AA109" t="s">
        <v>14</v>
      </c>
    </row>
    <row r="110" spans="15:27" x14ac:dyDescent="0.35">
      <c r="O110">
        <v>10253</v>
      </c>
      <c r="P110" t="s">
        <v>896</v>
      </c>
      <c r="Q110" t="s">
        <v>318</v>
      </c>
      <c r="R110" t="s">
        <v>117</v>
      </c>
      <c r="S110" t="s">
        <v>29</v>
      </c>
      <c r="T110" t="s">
        <v>67</v>
      </c>
      <c r="U110">
        <v>10</v>
      </c>
      <c r="V110" s="10">
        <v>15000</v>
      </c>
      <c r="W110" s="10">
        <v>150000</v>
      </c>
      <c r="X110" s="11">
        <v>45982</v>
      </c>
      <c r="Y110" t="s">
        <v>1009</v>
      </c>
      <c r="Z110" t="s">
        <v>40</v>
      </c>
      <c r="AA110" t="s">
        <v>14</v>
      </c>
    </row>
    <row r="111" spans="15:27" x14ac:dyDescent="0.35">
      <c r="O111">
        <v>10285</v>
      </c>
      <c r="P111" t="s">
        <v>903</v>
      </c>
      <c r="Q111" t="s">
        <v>324</v>
      </c>
      <c r="R111" t="s">
        <v>59</v>
      </c>
      <c r="S111" t="s">
        <v>18</v>
      </c>
      <c r="T111" t="s">
        <v>70</v>
      </c>
      <c r="U111">
        <v>7</v>
      </c>
      <c r="V111" s="10">
        <v>75000</v>
      </c>
      <c r="W111" s="10">
        <v>525000</v>
      </c>
      <c r="X111" s="11">
        <v>45703</v>
      </c>
      <c r="Y111" t="s">
        <v>1011</v>
      </c>
      <c r="Z111" t="s">
        <v>13</v>
      </c>
      <c r="AA111" t="s">
        <v>14</v>
      </c>
    </row>
    <row r="112" spans="15:27" x14ac:dyDescent="0.35">
      <c r="O112">
        <v>10428</v>
      </c>
      <c r="P112" t="s">
        <v>594</v>
      </c>
      <c r="Q112" t="s">
        <v>904</v>
      </c>
      <c r="R112" t="s">
        <v>46</v>
      </c>
      <c r="S112" t="s">
        <v>15</v>
      </c>
      <c r="T112" t="s">
        <v>42</v>
      </c>
      <c r="U112">
        <v>8</v>
      </c>
      <c r="V112" s="10">
        <v>15000</v>
      </c>
      <c r="W112" s="10">
        <v>120000</v>
      </c>
      <c r="X112" s="11">
        <v>45853</v>
      </c>
      <c r="Y112" t="s">
        <v>1013</v>
      </c>
      <c r="Z112" t="s">
        <v>40</v>
      </c>
      <c r="AA112" t="s">
        <v>14</v>
      </c>
    </row>
    <row r="113" spans="15:27" x14ac:dyDescent="0.35">
      <c r="O113">
        <v>10418</v>
      </c>
      <c r="P113" t="s">
        <v>325</v>
      </c>
      <c r="Q113" t="s">
        <v>436</v>
      </c>
      <c r="R113" t="s">
        <v>33</v>
      </c>
      <c r="S113" t="s">
        <v>15</v>
      </c>
      <c r="T113" t="s">
        <v>49</v>
      </c>
      <c r="U113">
        <v>6</v>
      </c>
      <c r="V113" s="10">
        <v>99000</v>
      </c>
      <c r="W113" s="10">
        <v>594000</v>
      </c>
      <c r="X113" s="11">
        <v>45934</v>
      </c>
      <c r="Y113" t="s">
        <v>1014</v>
      </c>
      <c r="Z113" t="s">
        <v>40</v>
      </c>
      <c r="AA113" t="s">
        <v>14</v>
      </c>
    </row>
    <row r="114" spans="15:27" x14ac:dyDescent="0.35">
      <c r="O114">
        <v>10162</v>
      </c>
      <c r="P114" t="s">
        <v>907</v>
      </c>
      <c r="Q114" t="s">
        <v>326</v>
      </c>
      <c r="R114" t="s">
        <v>82</v>
      </c>
      <c r="S114" t="s">
        <v>29</v>
      </c>
      <c r="T114" t="s">
        <v>64</v>
      </c>
      <c r="U114">
        <v>1</v>
      </c>
      <c r="V114" s="10">
        <v>75000</v>
      </c>
      <c r="W114" s="10">
        <v>75000</v>
      </c>
      <c r="X114" s="11">
        <v>45791</v>
      </c>
      <c r="Y114" t="s">
        <v>1006</v>
      </c>
      <c r="Z114" t="s">
        <v>24</v>
      </c>
      <c r="AA114" t="s">
        <v>14</v>
      </c>
    </row>
    <row r="115" spans="15:27" x14ac:dyDescent="0.35">
      <c r="O115">
        <v>10296</v>
      </c>
      <c r="P115" t="s">
        <v>860</v>
      </c>
      <c r="Q115" t="s">
        <v>436</v>
      </c>
      <c r="R115" t="s">
        <v>59</v>
      </c>
      <c r="S115" t="s">
        <v>11</v>
      </c>
      <c r="T115" t="s">
        <v>61</v>
      </c>
      <c r="U115">
        <v>4</v>
      </c>
      <c r="V115" s="10">
        <v>15000</v>
      </c>
      <c r="W115" s="10">
        <v>60000</v>
      </c>
      <c r="X115" s="11">
        <v>45670</v>
      </c>
      <c r="Y115" t="s">
        <v>1005</v>
      </c>
      <c r="Z115" t="s">
        <v>13</v>
      </c>
      <c r="AA115" t="s">
        <v>14</v>
      </c>
    </row>
    <row r="116" spans="15:27" x14ac:dyDescent="0.35">
      <c r="O116">
        <v>10384</v>
      </c>
      <c r="P116" t="s">
        <v>912</v>
      </c>
      <c r="Q116" t="s">
        <v>335</v>
      </c>
      <c r="R116" t="s">
        <v>23</v>
      </c>
      <c r="S116" t="s">
        <v>11</v>
      </c>
      <c r="T116" t="s">
        <v>39</v>
      </c>
      <c r="U116">
        <v>1</v>
      </c>
      <c r="V116" s="10">
        <v>250000</v>
      </c>
      <c r="W116" s="10">
        <v>250000</v>
      </c>
      <c r="X116" s="11">
        <v>45884</v>
      </c>
      <c r="Y116" t="s">
        <v>1008</v>
      </c>
      <c r="Z116" t="s">
        <v>17</v>
      </c>
      <c r="AA116" t="s">
        <v>14</v>
      </c>
    </row>
    <row r="117" spans="15:27" x14ac:dyDescent="0.35">
      <c r="O117">
        <v>10502</v>
      </c>
      <c r="P117" t="s">
        <v>831</v>
      </c>
      <c r="Q117" t="s">
        <v>914</v>
      </c>
      <c r="R117" t="s">
        <v>66</v>
      </c>
      <c r="S117" t="s">
        <v>29</v>
      </c>
      <c r="T117" t="s">
        <v>67</v>
      </c>
      <c r="U117">
        <v>1</v>
      </c>
      <c r="V117" s="10">
        <v>250000</v>
      </c>
      <c r="W117" s="10">
        <v>250000</v>
      </c>
      <c r="X117" s="11">
        <v>45954</v>
      </c>
      <c r="Y117" t="s">
        <v>1014</v>
      </c>
      <c r="Z117" t="s">
        <v>24</v>
      </c>
      <c r="AA117" t="s">
        <v>14</v>
      </c>
    </row>
    <row r="118" spans="15:27" x14ac:dyDescent="0.35">
      <c r="O118">
        <v>10033</v>
      </c>
      <c r="P118" t="s">
        <v>154</v>
      </c>
      <c r="Q118" t="s">
        <v>341</v>
      </c>
      <c r="R118" t="s">
        <v>63</v>
      </c>
      <c r="S118" t="s">
        <v>11</v>
      </c>
      <c r="T118" t="s">
        <v>71</v>
      </c>
      <c r="U118">
        <v>5</v>
      </c>
      <c r="V118" s="10">
        <v>50000</v>
      </c>
      <c r="W118" s="10">
        <v>250000</v>
      </c>
      <c r="X118" s="11">
        <v>45786</v>
      </c>
      <c r="Y118" t="s">
        <v>1006</v>
      </c>
      <c r="Z118" t="s">
        <v>36</v>
      </c>
      <c r="AA118" t="s">
        <v>14</v>
      </c>
    </row>
    <row r="119" spans="15:27" x14ac:dyDescent="0.35">
      <c r="O119">
        <v>10510</v>
      </c>
      <c r="P119" t="s">
        <v>935</v>
      </c>
      <c r="Q119" t="s">
        <v>436</v>
      </c>
      <c r="R119" t="s">
        <v>86</v>
      </c>
      <c r="S119" t="s">
        <v>15</v>
      </c>
      <c r="T119" t="s">
        <v>16</v>
      </c>
      <c r="U119">
        <v>9</v>
      </c>
      <c r="V119" s="10">
        <v>150000</v>
      </c>
      <c r="W119" s="10">
        <v>1350000</v>
      </c>
      <c r="X119" s="11">
        <v>45678</v>
      </c>
      <c r="Y119" t="s">
        <v>1005</v>
      </c>
      <c r="Z119" t="s">
        <v>17</v>
      </c>
      <c r="AA119" t="s">
        <v>14</v>
      </c>
    </row>
    <row r="120" spans="15:27" x14ac:dyDescent="0.35">
      <c r="O120">
        <v>10455</v>
      </c>
      <c r="P120" t="s">
        <v>601</v>
      </c>
      <c r="Q120" t="s">
        <v>939</v>
      </c>
      <c r="R120" t="s">
        <v>117</v>
      </c>
      <c r="S120" t="s">
        <v>34</v>
      </c>
      <c r="T120" t="s">
        <v>45</v>
      </c>
      <c r="U120">
        <v>2</v>
      </c>
      <c r="V120" s="10">
        <v>50000</v>
      </c>
      <c r="W120" s="10">
        <v>100000</v>
      </c>
      <c r="X120" s="11">
        <v>45866</v>
      </c>
      <c r="Y120" t="s">
        <v>1013</v>
      </c>
      <c r="Z120" t="s">
        <v>17</v>
      </c>
      <c r="AA120" t="s">
        <v>14</v>
      </c>
    </row>
    <row r="121" spans="15:27" x14ac:dyDescent="0.35">
      <c r="O121">
        <v>10487</v>
      </c>
      <c r="P121" t="s">
        <v>841</v>
      </c>
      <c r="Q121" t="s">
        <v>348</v>
      </c>
      <c r="R121" t="s">
        <v>46</v>
      </c>
      <c r="S121" t="s">
        <v>29</v>
      </c>
      <c r="T121" t="s">
        <v>30</v>
      </c>
      <c r="U121">
        <v>4</v>
      </c>
      <c r="V121" s="10">
        <v>45000</v>
      </c>
      <c r="W121" s="10">
        <v>180000</v>
      </c>
      <c r="X121" s="11">
        <v>45970</v>
      </c>
      <c r="Y121" t="s">
        <v>1009</v>
      </c>
      <c r="Z121" t="s">
        <v>13</v>
      </c>
      <c r="AA121" t="s">
        <v>14</v>
      </c>
    </row>
    <row r="122" spans="15:27" x14ac:dyDescent="0.35">
      <c r="O122">
        <v>10398</v>
      </c>
      <c r="P122" t="s">
        <v>158</v>
      </c>
      <c r="Q122" t="s">
        <v>349</v>
      </c>
      <c r="R122" t="s">
        <v>66</v>
      </c>
      <c r="S122" t="s">
        <v>29</v>
      </c>
      <c r="T122" t="s">
        <v>64</v>
      </c>
      <c r="U122">
        <v>10</v>
      </c>
      <c r="V122" s="10">
        <v>250000</v>
      </c>
      <c r="W122" s="10">
        <v>2500000</v>
      </c>
      <c r="X122" s="11">
        <v>45879</v>
      </c>
      <c r="Y122" t="s">
        <v>1008</v>
      </c>
      <c r="Z122" t="s">
        <v>24</v>
      </c>
      <c r="AA122" t="s">
        <v>14</v>
      </c>
    </row>
    <row r="123" spans="15:27" x14ac:dyDescent="0.35">
      <c r="O123">
        <v>10430</v>
      </c>
      <c r="P123" t="s">
        <v>130</v>
      </c>
      <c r="Q123" t="s">
        <v>350</v>
      </c>
      <c r="R123" t="s">
        <v>117</v>
      </c>
      <c r="S123" t="s">
        <v>15</v>
      </c>
      <c r="T123" t="s">
        <v>73</v>
      </c>
      <c r="U123">
        <v>7</v>
      </c>
      <c r="V123" s="10">
        <v>120000</v>
      </c>
      <c r="W123" s="10">
        <v>840000</v>
      </c>
      <c r="X123" s="11">
        <v>45815</v>
      </c>
      <c r="Y123" t="s">
        <v>1007</v>
      </c>
      <c r="Z123" t="s">
        <v>13</v>
      </c>
      <c r="AA123" t="s">
        <v>14</v>
      </c>
    </row>
    <row r="124" spans="15:27" x14ac:dyDescent="0.35">
      <c r="O124">
        <v>10220</v>
      </c>
      <c r="P124" t="s">
        <v>492</v>
      </c>
      <c r="Q124" t="s">
        <v>436</v>
      </c>
      <c r="R124" t="s">
        <v>117</v>
      </c>
      <c r="S124" t="s">
        <v>29</v>
      </c>
      <c r="T124" t="s">
        <v>81</v>
      </c>
      <c r="U124">
        <v>3</v>
      </c>
      <c r="V124" s="10">
        <v>120000</v>
      </c>
      <c r="W124" s="10">
        <v>360000</v>
      </c>
      <c r="X124" s="11">
        <v>45965</v>
      </c>
      <c r="Y124" t="s">
        <v>1009</v>
      </c>
      <c r="Z124" t="s">
        <v>40</v>
      </c>
      <c r="AA124" t="s">
        <v>14</v>
      </c>
    </row>
    <row r="125" spans="15:27" x14ac:dyDescent="0.35">
      <c r="O125">
        <v>10587</v>
      </c>
      <c r="P125" t="s">
        <v>898</v>
      </c>
      <c r="Q125" t="s">
        <v>436</v>
      </c>
      <c r="R125" t="s">
        <v>46</v>
      </c>
      <c r="S125" t="s">
        <v>11</v>
      </c>
      <c r="T125" t="s">
        <v>39</v>
      </c>
      <c r="U125">
        <v>1</v>
      </c>
      <c r="V125" s="10">
        <v>250000</v>
      </c>
      <c r="W125" s="10">
        <v>250000</v>
      </c>
      <c r="X125" s="11">
        <v>45864</v>
      </c>
      <c r="Y125" t="s">
        <v>1013</v>
      </c>
      <c r="Z125" t="s">
        <v>40</v>
      </c>
      <c r="AA125" t="s">
        <v>14</v>
      </c>
    </row>
    <row r="126" spans="15:27" x14ac:dyDescent="0.35">
      <c r="O126">
        <v>10526</v>
      </c>
      <c r="P126" t="s">
        <v>969</v>
      </c>
      <c r="Q126" t="s">
        <v>970</v>
      </c>
      <c r="R126" t="s">
        <v>63</v>
      </c>
      <c r="S126" t="s">
        <v>29</v>
      </c>
      <c r="T126" t="s">
        <v>64</v>
      </c>
      <c r="U126">
        <v>3</v>
      </c>
      <c r="V126" s="10">
        <v>45000</v>
      </c>
      <c r="W126" s="10">
        <v>135000</v>
      </c>
      <c r="X126" s="11">
        <v>45879</v>
      </c>
      <c r="Y126" t="s">
        <v>1008</v>
      </c>
      <c r="Z126" t="s">
        <v>13</v>
      </c>
      <c r="AA126" t="s">
        <v>14</v>
      </c>
    </row>
    <row r="127" spans="15:27" x14ac:dyDescent="0.35">
      <c r="O127">
        <v>10310</v>
      </c>
      <c r="P127" t="s">
        <v>519</v>
      </c>
      <c r="Q127" t="s">
        <v>971</v>
      </c>
      <c r="R127" t="s">
        <v>148</v>
      </c>
      <c r="S127" t="s">
        <v>34</v>
      </c>
      <c r="T127" t="s">
        <v>45</v>
      </c>
      <c r="U127">
        <v>5</v>
      </c>
      <c r="V127" s="10">
        <v>45000</v>
      </c>
      <c r="W127" s="10">
        <v>225000</v>
      </c>
      <c r="X127" s="11">
        <v>45829</v>
      </c>
      <c r="Y127" t="s">
        <v>1007</v>
      </c>
      <c r="Z127" t="s">
        <v>36</v>
      </c>
      <c r="AA127" t="s">
        <v>14</v>
      </c>
    </row>
    <row r="128" spans="15:27" x14ac:dyDescent="0.35">
      <c r="O128">
        <v>10022</v>
      </c>
      <c r="P128" t="s">
        <v>849</v>
      </c>
      <c r="Q128" t="s">
        <v>978</v>
      </c>
      <c r="R128" t="s">
        <v>23</v>
      </c>
      <c r="S128" t="s">
        <v>34</v>
      </c>
      <c r="T128" t="s">
        <v>35</v>
      </c>
      <c r="U128">
        <v>1</v>
      </c>
      <c r="V128" s="10">
        <v>45000</v>
      </c>
      <c r="W128" s="10">
        <v>45000</v>
      </c>
      <c r="X128" s="11">
        <v>45901</v>
      </c>
      <c r="Y128" t="s">
        <v>1015</v>
      </c>
      <c r="Z128" t="s">
        <v>13</v>
      </c>
      <c r="AA128" t="s">
        <v>14</v>
      </c>
    </row>
    <row r="129" spans="15:27" x14ac:dyDescent="0.35">
      <c r="O129">
        <v>10410</v>
      </c>
      <c r="P129" t="s">
        <v>692</v>
      </c>
      <c r="Q129" t="s">
        <v>979</v>
      </c>
      <c r="R129" t="s">
        <v>86</v>
      </c>
      <c r="S129" t="s">
        <v>11</v>
      </c>
      <c r="T129" t="s">
        <v>50</v>
      </c>
      <c r="U129">
        <v>10</v>
      </c>
      <c r="V129" s="10">
        <v>35000</v>
      </c>
      <c r="W129" s="10">
        <v>350000</v>
      </c>
      <c r="X129" s="11">
        <v>45936</v>
      </c>
      <c r="Y129" t="s">
        <v>1014</v>
      </c>
      <c r="Z129" t="s">
        <v>17</v>
      </c>
      <c r="AA129" t="s">
        <v>14</v>
      </c>
    </row>
    <row r="130" spans="15:27" x14ac:dyDescent="0.35">
      <c r="O130">
        <v>10103</v>
      </c>
      <c r="P130" t="s">
        <v>984</v>
      </c>
      <c r="Q130" t="s">
        <v>985</v>
      </c>
      <c r="R130" t="s">
        <v>23</v>
      </c>
      <c r="S130" t="s">
        <v>18</v>
      </c>
      <c r="T130" t="s">
        <v>57</v>
      </c>
      <c r="U130">
        <v>9</v>
      </c>
      <c r="V130" s="10">
        <v>120000</v>
      </c>
      <c r="W130" s="10">
        <v>1080000</v>
      </c>
      <c r="X130" s="11">
        <v>45928</v>
      </c>
      <c r="Y130" t="s">
        <v>1015</v>
      </c>
      <c r="Z130" t="s">
        <v>17</v>
      </c>
      <c r="AA130" t="s">
        <v>14</v>
      </c>
    </row>
    <row r="131" spans="15:27" x14ac:dyDescent="0.35">
      <c r="O131">
        <v>10381</v>
      </c>
      <c r="P131" t="s">
        <v>575</v>
      </c>
      <c r="Q131" t="s">
        <v>988</v>
      </c>
      <c r="R131" t="s">
        <v>82</v>
      </c>
      <c r="S131" t="s">
        <v>34</v>
      </c>
      <c r="T131" t="s">
        <v>77</v>
      </c>
      <c r="U131">
        <v>6</v>
      </c>
      <c r="V131" s="10">
        <v>25000</v>
      </c>
      <c r="W131" s="10">
        <v>150000</v>
      </c>
      <c r="X131" s="11">
        <v>45788</v>
      </c>
      <c r="Y131" t="s">
        <v>1006</v>
      </c>
      <c r="Z131" t="s">
        <v>40</v>
      </c>
      <c r="AA131" t="s">
        <v>14</v>
      </c>
    </row>
    <row r="132" spans="15:27" x14ac:dyDescent="0.35">
      <c r="O132">
        <v>10041</v>
      </c>
      <c r="P132" t="s">
        <v>984</v>
      </c>
      <c r="Q132" t="s">
        <v>991</v>
      </c>
      <c r="R132" t="s">
        <v>117</v>
      </c>
      <c r="S132" t="s">
        <v>29</v>
      </c>
      <c r="T132" t="s">
        <v>30</v>
      </c>
      <c r="U132">
        <v>2</v>
      </c>
      <c r="V132" s="10">
        <v>75000</v>
      </c>
      <c r="W132" s="10">
        <v>150000</v>
      </c>
      <c r="X132" s="11">
        <v>45787</v>
      </c>
      <c r="Y132" t="s">
        <v>1006</v>
      </c>
      <c r="Z132" t="s">
        <v>17</v>
      </c>
      <c r="AA132" t="s">
        <v>14</v>
      </c>
    </row>
    <row r="133" spans="15:27" x14ac:dyDescent="0.35">
      <c r="O133">
        <v>10582</v>
      </c>
      <c r="P133" t="s">
        <v>437</v>
      </c>
      <c r="Q133" t="s">
        <v>374</v>
      </c>
      <c r="R133" t="s">
        <v>33</v>
      </c>
      <c r="S133" t="s">
        <v>34</v>
      </c>
      <c r="T133" t="s">
        <v>37</v>
      </c>
      <c r="U133">
        <v>3</v>
      </c>
      <c r="V133" s="10">
        <v>120000</v>
      </c>
      <c r="W133" s="10">
        <v>360000</v>
      </c>
      <c r="X133" s="11">
        <v>45658</v>
      </c>
      <c r="Y133" t="s">
        <v>1005</v>
      </c>
      <c r="Z133" t="s">
        <v>17</v>
      </c>
      <c r="AA133" t="s">
        <v>14</v>
      </c>
    </row>
    <row r="134" spans="15:27" x14ac:dyDescent="0.35">
      <c r="O134">
        <v>10536</v>
      </c>
      <c r="P134" t="s">
        <v>992</v>
      </c>
      <c r="Q134" t="s">
        <v>436</v>
      </c>
      <c r="R134" t="s">
        <v>33</v>
      </c>
      <c r="S134" t="s">
        <v>15</v>
      </c>
      <c r="T134" t="s">
        <v>49</v>
      </c>
      <c r="U134">
        <v>2</v>
      </c>
      <c r="V134" s="10">
        <v>15000</v>
      </c>
      <c r="W134" s="10">
        <v>30000</v>
      </c>
      <c r="X134" s="11">
        <v>45941</v>
      </c>
      <c r="Y134" t="s">
        <v>1014</v>
      </c>
      <c r="Z134" t="s">
        <v>17</v>
      </c>
      <c r="AA134" t="s">
        <v>14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62"/>
  <sheetViews>
    <sheetView topLeftCell="L1" zoomScale="67" zoomScaleNormal="67" workbookViewId="0">
      <pane ySplit="1" topLeftCell="A2" activePane="bottomLeft" state="frozen"/>
      <selection pane="bottomLeft" activeCell="I604" sqref="I604"/>
    </sheetView>
  </sheetViews>
  <sheetFormatPr defaultRowHeight="14.5" x14ac:dyDescent="0.35"/>
  <cols>
    <col min="1" max="1" width="16" bestFit="1" customWidth="1"/>
    <col min="2" max="2" width="31.54296875" bestFit="1" customWidth="1"/>
    <col min="3" max="3" width="18.54296875" bestFit="1" customWidth="1"/>
    <col min="4" max="4" width="20.26953125" bestFit="1" customWidth="1"/>
    <col min="5" max="5" width="16" bestFit="1" customWidth="1"/>
    <col min="6" max="6" width="19.08984375" customWidth="1"/>
    <col min="7" max="7" width="10.90625" bestFit="1" customWidth="1"/>
    <col min="8" max="8" width="22.08984375" style="10" bestFit="1" customWidth="1"/>
    <col min="9" max="9" width="20.81640625" style="10" bestFit="1" customWidth="1"/>
    <col min="10" max="10" width="21.81640625" style="22" bestFit="1" customWidth="1"/>
    <col min="11" max="11" width="25.6328125" style="11" bestFit="1" customWidth="1"/>
    <col min="12" max="12" width="21.08984375" customWidth="1"/>
    <col min="13" max="13" width="13.81640625" bestFit="1" customWidth="1"/>
    <col min="14" max="14" width="28.453125" bestFit="1" customWidth="1"/>
    <col min="15" max="15" width="17" bestFit="1" customWidth="1"/>
    <col min="16" max="16" width="15.90625" bestFit="1" customWidth="1"/>
    <col min="17" max="17" width="22.1796875" bestFit="1" customWidth="1"/>
    <col min="18" max="19" width="15.90625" bestFit="1" customWidth="1"/>
    <col min="20" max="20" width="17" bestFit="1" customWidth="1"/>
    <col min="21" max="24" width="15.90625" bestFit="1" customWidth="1"/>
    <col min="25" max="25" width="12.453125" bestFit="1" customWidth="1"/>
    <col min="26" max="26" width="6.90625" bestFit="1" customWidth="1"/>
  </cols>
  <sheetData>
    <row r="1" spans="1:24" x14ac:dyDescent="0.35">
      <c r="A1" s="1" t="s">
        <v>0</v>
      </c>
      <c r="B1" s="1" t="s">
        <v>423</v>
      </c>
      <c r="C1" s="1" t="s">
        <v>416</v>
      </c>
      <c r="D1" s="1" t="s">
        <v>415</v>
      </c>
      <c r="E1" s="1" t="s">
        <v>3</v>
      </c>
      <c r="F1" s="1" t="s">
        <v>4</v>
      </c>
      <c r="G1" s="26" t="s">
        <v>5</v>
      </c>
      <c r="H1" s="8" t="s">
        <v>6</v>
      </c>
      <c r="I1" s="12" t="s">
        <v>417</v>
      </c>
      <c r="J1" s="23" t="s">
        <v>7</v>
      </c>
      <c r="K1" s="24" t="s">
        <v>1004</v>
      </c>
      <c r="L1" s="1" t="s">
        <v>8</v>
      </c>
      <c r="M1" s="1" t="s">
        <v>9</v>
      </c>
      <c r="N1" s="15" t="s">
        <v>419</v>
      </c>
    </row>
    <row r="2" spans="1:24" x14ac:dyDescent="0.35">
      <c r="A2" s="2">
        <v>10375</v>
      </c>
      <c r="B2" s="2" t="s">
        <v>424</v>
      </c>
      <c r="C2" s="2" t="s">
        <v>10</v>
      </c>
      <c r="D2" s="2" t="s">
        <v>63</v>
      </c>
      <c r="E2" s="2" t="s">
        <v>11</v>
      </c>
      <c r="F2" s="2" t="s">
        <v>12</v>
      </c>
      <c r="G2" s="2">
        <v>8</v>
      </c>
      <c r="H2" s="9">
        <v>35000</v>
      </c>
      <c r="I2" s="9">
        <v>280000</v>
      </c>
      <c r="J2" s="21">
        <v>45663</v>
      </c>
      <c r="K2" s="7" t="s">
        <v>1005</v>
      </c>
      <c r="L2" s="2" t="s">
        <v>13</v>
      </c>
      <c r="M2" s="16" t="s">
        <v>14</v>
      </c>
    </row>
    <row r="3" spans="1:24" x14ac:dyDescent="0.35">
      <c r="A3" s="2">
        <v>10342</v>
      </c>
      <c r="B3" s="2" t="s">
        <v>173</v>
      </c>
      <c r="C3" s="2" t="s">
        <v>425</v>
      </c>
      <c r="D3" s="2" t="s">
        <v>117</v>
      </c>
      <c r="E3" s="2" t="s">
        <v>15</v>
      </c>
      <c r="F3" s="2" t="s">
        <v>16</v>
      </c>
      <c r="G3" s="2">
        <v>9</v>
      </c>
      <c r="H3" s="9">
        <v>45000</v>
      </c>
      <c r="I3" s="9">
        <v>405000</v>
      </c>
      <c r="J3" s="21">
        <v>45805</v>
      </c>
      <c r="K3" s="7" t="s">
        <v>1006</v>
      </c>
      <c r="L3" s="2" t="s">
        <v>17</v>
      </c>
      <c r="M3" s="2" t="s">
        <v>14</v>
      </c>
      <c r="N3" t="s">
        <v>14</v>
      </c>
      <c r="O3">
        <v>113</v>
      </c>
    </row>
    <row r="4" spans="1:24" x14ac:dyDescent="0.35">
      <c r="A4" s="2">
        <v>10232</v>
      </c>
      <c r="B4" s="2" t="s">
        <v>426</v>
      </c>
      <c r="C4" s="2" t="s">
        <v>427</v>
      </c>
      <c r="D4" s="2" t="s">
        <v>46</v>
      </c>
      <c r="E4" s="2" t="s">
        <v>18</v>
      </c>
      <c r="F4" s="2" t="s">
        <v>19</v>
      </c>
      <c r="G4" s="2">
        <v>5</v>
      </c>
      <c r="H4" s="9">
        <v>75000</v>
      </c>
      <c r="I4" s="9">
        <v>375000</v>
      </c>
      <c r="J4" s="21">
        <v>45824</v>
      </c>
      <c r="K4" s="7" t="s">
        <v>1007</v>
      </c>
      <c r="L4" s="2" t="s">
        <v>13</v>
      </c>
      <c r="M4" s="2" t="s">
        <v>20</v>
      </c>
      <c r="N4" t="s">
        <v>25</v>
      </c>
      <c r="O4">
        <v>129</v>
      </c>
    </row>
    <row r="5" spans="1:24" x14ac:dyDescent="0.35">
      <c r="A5" s="2">
        <v>10144</v>
      </c>
      <c r="B5" s="2" t="s">
        <v>21</v>
      </c>
      <c r="C5" s="2" t="s">
        <v>22</v>
      </c>
      <c r="D5" s="2" t="s">
        <v>23</v>
      </c>
      <c r="E5" s="2" t="s">
        <v>15</v>
      </c>
      <c r="F5" s="2" t="s">
        <v>16</v>
      </c>
      <c r="G5" s="2">
        <v>8</v>
      </c>
      <c r="H5" s="9">
        <v>199000</v>
      </c>
      <c r="I5" s="9">
        <v>1592000</v>
      </c>
      <c r="J5" s="21">
        <v>45880</v>
      </c>
      <c r="K5" s="7" t="s">
        <v>1008</v>
      </c>
      <c r="L5" s="2" t="s">
        <v>24</v>
      </c>
      <c r="M5" s="2" t="s">
        <v>25</v>
      </c>
      <c r="N5" t="s">
        <v>20</v>
      </c>
      <c r="O5">
        <v>113</v>
      </c>
    </row>
    <row r="6" spans="1:24" x14ac:dyDescent="0.35">
      <c r="A6" s="2">
        <v>10344</v>
      </c>
      <c r="B6" s="2" t="s">
        <v>151</v>
      </c>
      <c r="C6" s="2" t="s">
        <v>428</v>
      </c>
      <c r="D6" s="2" t="s">
        <v>86</v>
      </c>
      <c r="E6" s="2" t="s">
        <v>18</v>
      </c>
      <c r="F6" s="2" t="s">
        <v>26</v>
      </c>
      <c r="G6" s="2">
        <v>7</v>
      </c>
      <c r="H6" s="9">
        <v>199000</v>
      </c>
      <c r="I6" s="9">
        <v>1393000</v>
      </c>
      <c r="J6" s="21">
        <v>45978</v>
      </c>
      <c r="K6" s="7" t="s">
        <v>1009</v>
      </c>
      <c r="L6" s="2" t="s">
        <v>24</v>
      </c>
      <c r="M6" s="2" t="s">
        <v>27</v>
      </c>
      <c r="N6" t="s">
        <v>31</v>
      </c>
      <c r="O6">
        <v>122</v>
      </c>
    </row>
    <row r="7" spans="1:24" x14ac:dyDescent="0.35">
      <c r="A7" s="2">
        <v>10503</v>
      </c>
      <c r="B7" s="2" t="s">
        <v>429</v>
      </c>
      <c r="C7" s="2" t="s">
        <v>28</v>
      </c>
      <c r="D7" s="2" t="s">
        <v>33</v>
      </c>
      <c r="E7" s="2" t="s">
        <v>29</v>
      </c>
      <c r="F7" s="2" t="s">
        <v>30</v>
      </c>
      <c r="G7" s="2">
        <v>2</v>
      </c>
      <c r="H7" s="9">
        <v>120000</v>
      </c>
      <c r="I7" s="9">
        <v>240000</v>
      </c>
      <c r="J7" s="21">
        <v>45978</v>
      </c>
      <c r="K7" s="7" t="s">
        <v>1009</v>
      </c>
      <c r="L7" s="2" t="s">
        <v>24</v>
      </c>
      <c r="M7" s="2" t="s">
        <v>31</v>
      </c>
      <c r="N7" t="s">
        <v>418</v>
      </c>
      <c r="O7">
        <v>123</v>
      </c>
    </row>
    <row r="8" spans="1:24" x14ac:dyDescent="0.35">
      <c r="A8" s="2">
        <v>10367</v>
      </c>
      <c r="B8" s="2" t="s">
        <v>80</v>
      </c>
      <c r="C8" s="2" t="s">
        <v>32</v>
      </c>
      <c r="D8" s="2" t="s">
        <v>33</v>
      </c>
      <c r="E8" s="2" t="s">
        <v>34</v>
      </c>
      <c r="F8" s="2" t="s">
        <v>35</v>
      </c>
      <c r="G8" s="2">
        <v>4</v>
      </c>
      <c r="H8" s="9">
        <v>120000</v>
      </c>
      <c r="I8" s="9">
        <v>480000</v>
      </c>
      <c r="J8" s="21">
        <v>45990</v>
      </c>
      <c r="K8" s="7" t="s">
        <v>1009</v>
      </c>
      <c r="L8" s="2" t="s">
        <v>36</v>
      </c>
      <c r="M8" s="2" t="s">
        <v>31</v>
      </c>
      <c r="O8">
        <v>600</v>
      </c>
    </row>
    <row r="9" spans="1:24" x14ac:dyDescent="0.35">
      <c r="A9" s="2">
        <v>10480</v>
      </c>
      <c r="B9" s="2" t="s">
        <v>430</v>
      </c>
      <c r="C9" s="2" t="s">
        <v>431</v>
      </c>
      <c r="D9" s="2" t="s">
        <v>63</v>
      </c>
      <c r="E9" s="2" t="s">
        <v>34</v>
      </c>
      <c r="F9" s="2" t="s">
        <v>37</v>
      </c>
      <c r="G9" s="2">
        <v>4</v>
      </c>
      <c r="H9" s="9">
        <v>15000</v>
      </c>
      <c r="I9" s="9">
        <v>60000</v>
      </c>
      <c r="J9" s="21">
        <v>45994</v>
      </c>
      <c r="K9" s="7" t="s">
        <v>1010</v>
      </c>
      <c r="L9" s="2" t="s">
        <v>24</v>
      </c>
      <c r="M9" s="2" t="s">
        <v>31</v>
      </c>
    </row>
    <row r="10" spans="1:24" x14ac:dyDescent="0.35">
      <c r="A10" s="2">
        <v>10177</v>
      </c>
      <c r="B10" s="2" t="s">
        <v>432</v>
      </c>
      <c r="C10" s="2" t="s">
        <v>38</v>
      </c>
      <c r="D10" s="2" t="s">
        <v>59</v>
      </c>
      <c r="E10" s="2" t="s">
        <v>11</v>
      </c>
      <c r="F10" s="2" t="s">
        <v>39</v>
      </c>
      <c r="G10" s="2">
        <v>5</v>
      </c>
      <c r="H10" s="10">
        <v>120000</v>
      </c>
      <c r="I10" s="9">
        <f>G10*H10</f>
        <v>600000</v>
      </c>
      <c r="J10" s="21">
        <v>45691</v>
      </c>
      <c r="K10" s="7" t="s">
        <v>1011</v>
      </c>
      <c r="L10" s="2" t="s">
        <v>40</v>
      </c>
      <c r="M10" s="2" t="s">
        <v>14</v>
      </c>
      <c r="N10" s="14" t="s">
        <v>420</v>
      </c>
      <c r="O10" t="s">
        <v>11</v>
      </c>
      <c r="P10" t="s">
        <v>15</v>
      </c>
      <c r="Q10" t="s">
        <v>18</v>
      </c>
      <c r="R10" t="s">
        <v>29</v>
      </c>
      <c r="S10" t="s">
        <v>34</v>
      </c>
    </row>
    <row r="11" spans="1:24" x14ac:dyDescent="0.35">
      <c r="A11" s="2">
        <v>10091</v>
      </c>
      <c r="B11" s="2" t="s">
        <v>433</v>
      </c>
      <c r="C11" s="2" t="s">
        <v>434</v>
      </c>
      <c r="D11" s="2" t="s">
        <v>23</v>
      </c>
      <c r="E11" s="2" t="s">
        <v>11</v>
      </c>
      <c r="F11" s="2" t="s">
        <v>12</v>
      </c>
      <c r="G11" s="2">
        <v>1</v>
      </c>
      <c r="H11" s="9">
        <v>50000</v>
      </c>
      <c r="I11" s="9">
        <v>50000</v>
      </c>
      <c r="J11" s="21">
        <v>45970</v>
      </c>
      <c r="K11" s="7" t="s">
        <v>1009</v>
      </c>
      <c r="L11" s="2" t="s">
        <v>13</v>
      </c>
      <c r="M11" s="2" t="s">
        <v>20</v>
      </c>
      <c r="O11" s="10">
        <f>SUMIF($E$2:$E$601,O10,$I$2:$I$601)</f>
        <v>56229000</v>
      </c>
      <c r="P11" s="10">
        <f t="shared" ref="P11:S11" si="0">SUMIF($E$2:$E$601,P10,$I$2:$I$601)</f>
        <v>55042000</v>
      </c>
      <c r="Q11" s="10">
        <f t="shared" si="0"/>
        <v>60421000</v>
      </c>
      <c r="R11" s="10">
        <f t="shared" si="0"/>
        <v>84805000</v>
      </c>
      <c r="S11" s="10">
        <f t="shared" si="0"/>
        <v>53298000</v>
      </c>
    </row>
    <row r="12" spans="1:24" x14ac:dyDescent="0.35">
      <c r="A12" s="2">
        <v>10008</v>
      </c>
      <c r="B12" s="2" t="s">
        <v>435</v>
      </c>
      <c r="C12" s="2" t="s">
        <v>436</v>
      </c>
      <c r="D12" s="2" t="s">
        <v>23</v>
      </c>
      <c r="E12" s="2" t="s">
        <v>11</v>
      </c>
      <c r="F12" s="2" t="s">
        <v>12</v>
      </c>
      <c r="G12" s="2">
        <v>10</v>
      </c>
      <c r="H12" s="9">
        <v>150000</v>
      </c>
      <c r="I12" s="9">
        <v>1500000</v>
      </c>
      <c r="J12" s="21">
        <v>45775</v>
      </c>
      <c r="K12" s="7" t="s">
        <v>1012</v>
      </c>
      <c r="L12" s="2" t="s">
        <v>13</v>
      </c>
      <c r="M12" s="2" t="s">
        <v>31</v>
      </c>
    </row>
    <row r="13" spans="1:24" x14ac:dyDescent="0.35">
      <c r="A13" s="2">
        <v>10043</v>
      </c>
      <c r="B13" s="2" t="s">
        <v>437</v>
      </c>
      <c r="C13" s="2" t="s">
        <v>438</v>
      </c>
      <c r="D13" s="2" t="s">
        <v>86</v>
      </c>
      <c r="E13" s="2" t="s">
        <v>29</v>
      </c>
      <c r="F13" s="2" t="s">
        <v>41</v>
      </c>
      <c r="G13" s="2">
        <v>7</v>
      </c>
      <c r="H13" s="9">
        <v>25000</v>
      </c>
      <c r="I13" s="9">
        <v>175000</v>
      </c>
      <c r="J13" s="21">
        <v>45773</v>
      </c>
      <c r="K13" s="7" t="s">
        <v>1012</v>
      </c>
      <c r="L13" s="2" t="s">
        <v>24</v>
      </c>
      <c r="M13" s="2" t="s">
        <v>20</v>
      </c>
      <c r="N13" t="s">
        <v>1025</v>
      </c>
      <c r="O13" s="10">
        <f>SUM(O11:S11)</f>
        <v>309795000</v>
      </c>
    </row>
    <row r="14" spans="1:24" x14ac:dyDescent="0.35">
      <c r="A14" s="2">
        <v>10598</v>
      </c>
      <c r="B14" s="2" t="s">
        <v>439</v>
      </c>
      <c r="C14" s="2" t="s">
        <v>440</v>
      </c>
      <c r="D14" s="2" t="s">
        <v>33</v>
      </c>
      <c r="E14" s="2" t="s">
        <v>15</v>
      </c>
      <c r="F14" s="2" t="s">
        <v>42</v>
      </c>
      <c r="G14" s="2">
        <v>7</v>
      </c>
      <c r="H14" s="9">
        <v>35000</v>
      </c>
      <c r="I14" s="9">
        <v>245000</v>
      </c>
      <c r="J14" s="21">
        <v>45803</v>
      </c>
      <c r="K14" s="7" t="s">
        <v>1006</v>
      </c>
      <c r="L14" s="2" t="s">
        <v>17</v>
      </c>
      <c r="M14" s="2" t="s">
        <v>20</v>
      </c>
    </row>
    <row r="15" spans="1:24" x14ac:dyDescent="0.35">
      <c r="A15" s="2">
        <v>10544</v>
      </c>
      <c r="B15" s="2" t="s">
        <v>441</v>
      </c>
      <c r="C15" s="2" t="s">
        <v>43</v>
      </c>
      <c r="D15" s="2" t="s">
        <v>66</v>
      </c>
      <c r="E15" s="2" t="s">
        <v>34</v>
      </c>
      <c r="F15" s="2" t="s">
        <v>35</v>
      </c>
      <c r="G15" s="2">
        <v>10</v>
      </c>
      <c r="H15" s="9">
        <v>15000</v>
      </c>
      <c r="I15" s="9">
        <v>150000</v>
      </c>
      <c r="J15" s="21">
        <v>45774</v>
      </c>
      <c r="K15" s="7" t="s">
        <v>1012</v>
      </c>
      <c r="L15" s="2" t="s">
        <v>40</v>
      </c>
      <c r="M15" s="2" t="s">
        <v>27</v>
      </c>
    </row>
    <row r="16" spans="1:24" x14ac:dyDescent="0.35">
      <c r="A16" s="2">
        <v>10111</v>
      </c>
      <c r="B16" s="2" t="s">
        <v>442</v>
      </c>
      <c r="C16" s="2" t="s">
        <v>443</v>
      </c>
      <c r="D16" s="2" t="s">
        <v>23</v>
      </c>
      <c r="E16" s="2" t="s">
        <v>11</v>
      </c>
      <c r="F16" s="2" t="s">
        <v>12</v>
      </c>
      <c r="G16" s="2">
        <v>4</v>
      </c>
      <c r="H16" s="9">
        <v>45000</v>
      </c>
      <c r="I16" s="9">
        <v>180000</v>
      </c>
      <c r="J16" s="21">
        <v>45691</v>
      </c>
      <c r="K16" s="7" t="s">
        <v>1011</v>
      </c>
      <c r="L16" s="2" t="s">
        <v>40</v>
      </c>
      <c r="M16" s="2" t="s">
        <v>31</v>
      </c>
      <c r="N16" s="14" t="s">
        <v>421</v>
      </c>
      <c r="O16" t="s">
        <v>23</v>
      </c>
      <c r="P16" t="s">
        <v>63</v>
      </c>
      <c r="Q16" t="s">
        <v>33</v>
      </c>
      <c r="R16" t="s">
        <v>117</v>
      </c>
      <c r="S16" t="s">
        <v>46</v>
      </c>
      <c r="T16" t="s">
        <v>66</v>
      </c>
      <c r="U16" t="s">
        <v>82</v>
      </c>
      <c r="V16" t="s">
        <v>86</v>
      </c>
      <c r="W16" t="s">
        <v>148</v>
      </c>
      <c r="X16" t="s">
        <v>59</v>
      </c>
    </row>
    <row r="17" spans="1:24" x14ac:dyDescent="0.35">
      <c r="A17" s="2">
        <v>10051</v>
      </c>
      <c r="B17" s="2" t="s">
        <v>444</v>
      </c>
      <c r="C17" s="2" t="s">
        <v>44</v>
      </c>
      <c r="D17" s="2" t="s">
        <v>63</v>
      </c>
      <c r="E17" s="2" t="s">
        <v>34</v>
      </c>
      <c r="F17" s="2" t="s">
        <v>45</v>
      </c>
      <c r="G17" s="2">
        <v>8</v>
      </c>
      <c r="H17" s="9">
        <v>50000</v>
      </c>
      <c r="I17" s="9">
        <v>400000</v>
      </c>
      <c r="J17" s="21">
        <v>45831</v>
      </c>
      <c r="K17" s="7" t="s">
        <v>1007</v>
      </c>
      <c r="L17" s="2" t="s">
        <v>24</v>
      </c>
      <c r="M17" s="2" t="s">
        <v>20</v>
      </c>
      <c r="O17" s="10">
        <f>SUMIF($D$2:$D$601,O16,$I$2:$I$601)</f>
        <v>36146000</v>
      </c>
      <c r="P17" s="10">
        <f t="shared" ref="P17:X17" si="1">SUMIF($D$2:$D$601,P16,$I$2:$I$601)</f>
        <v>31305000</v>
      </c>
      <c r="Q17" s="10">
        <f t="shared" si="1"/>
        <v>27872000</v>
      </c>
      <c r="R17" s="10">
        <f t="shared" si="1"/>
        <v>35012000</v>
      </c>
      <c r="S17" s="10">
        <f t="shared" si="1"/>
        <v>24920000</v>
      </c>
      <c r="T17" s="10">
        <f t="shared" si="1"/>
        <v>34709000</v>
      </c>
      <c r="U17" s="10">
        <f t="shared" si="1"/>
        <v>29862000</v>
      </c>
      <c r="V17" s="10">
        <f t="shared" si="1"/>
        <v>37590000</v>
      </c>
      <c r="W17" s="10">
        <f t="shared" si="1"/>
        <v>28193000</v>
      </c>
      <c r="X17" s="10">
        <f t="shared" si="1"/>
        <v>24186000</v>
      </c>
    </row>
    <row r="18" spans="1:24" x14ac:dyDescent="0.35">
      <c r="A18" s="2">
        <v>10097</v>
      </c>
      <c r="B18" s="2" t="s">
        <v>445</v>
      </c>
      <c r="C18" s="2" t="s">
        <v>446</v>
      </c>
      <c r="D18" s="2" t="s">
        <v>86</v>
      </c>
      <c r="E18" s="2" t="s">
        <v>29</v>
      </c>
      <c r="F18" s="2" t="s">
        <v>41</v>
      </c>
      <c r="G18" s="2">
        <v>9</v>
      </c>
      <c r="H18" s="9">
        <v>99000</v>
      </c>
      <c r="I18" s="9">
        <v>891000</v>
      </c>
      <c r="J18" s="21">
        <v>45860</v>
      </c>
      <c r="K18" s="7" t="s">
        <v>1013</v>
      </c>
      <c r="L18" s="2" t="s">
        <v>17</v>
      </c>
      <c r="M18" s="2" t="s">
        <v>31</v>
      </c>
      <c r="O18" s="10"/>
    </row>
    <row r="19" spans="1:24" x14ac:dyDescent="0.35">
      <c r="A19" s="2">
        <v>10569</v>
      </c>
      <c r="B19" s="2" t="s">
        <v>447</v>
      </c>
      <c r="C19" s="2" t="s">
        <v>436</v>
      </c>
      <c r="D19" s="2" t="s">
        <v>23</v>
      </c>
      <c r="E19" s="2" t="s">
        <v>29</v>
      </c>
      <c r="F19" s="2" t="s">
        <v>41</v>
      </c>
      <c r="G19" s="2">
        <v>10</v>
      </c>
      <c r="H19" s="9">
        <v>75000</v>
      </c>
      <c r="I19" s="9">
        <v>750000</v>
      </c>
      <c r="J19" s="21">
        <v>45872</v>
      </c>
      <c r="K19" s="7" t="s">
        <v>1008</v>
      </c>
      <c r="L19" s="2" t="s">
        <v>13</v>
      </c>
      <c r="M19" s="2" t="s">
        <v>27</v>
      </c>
      <c r="N19" t="s">
        <v>1025</v>
      </c>
      <c r="O19" s="10">
        <f>SUM(O17:X17)</f>
        <v>309795000</v>
      </c>
    </row>
    <row r="20" spans="1:24" x14ac:dyDescent="0.35">
      <c r="A20" s="2">
        <v>10040</v>
      </c>
      <c r="B20" s="2" t="s">
        <v>448</v>
      </c>
      <c r="C20" s="2" t="s">
        <v>449</v>
      </c>
      <c r="D20" s="2" t="s">
        <v>46</v>
      </c>
      <c r="E20" s="2" t="s">
        <v>34</v>
      </c>
      <c r="F20" s="2" t="s">
        <v>47</v>
      </c>
      <c r="G20" s="2">
        <v>9</v>
      </c>
      <c r="H20" s="9">
        <v>250000</v>
      </c>
      <c r="I20" s="9">
        <v>2250000</v>
      </c>
      <c r="J20" s="21">
        <v>45884</v>
      </c>
      <c r="K20" s="7" t="s">
        <v>1008</v>
      </c>
      <c r="L20" s="2" t="s">
        <v>17</v>
      </c>
      <c r="M20" s="2" t="s">
        <v>31</v>
      </c>
    </row>
    <row r="21" spans="1:24" x14ac:dyDescent="0.35">
      <c r="A21" s="2">
        <v>10397</v>
      </c>
      <c r="B21" s="2" t="s">
        <v>450</v>
      </c>
      <c r="C21" s="2" t="s">
        <v>48</v>
      </c>
      <c r="D21" s="2" t="s">
        <v>23</v>
      </c>
      <c r="E21" s="2" t="s">
        <v>15</v>
      </c>
      <c r="F21" s="2" t="s">
        <v>42</v>
      </c>
      <c r="G21" s="2">
        <v>6</v>
      </c>
      <c r="H21" s="9">
        <v>15000</v>
      </c>
      <c r="I21" s="9">
        <v>90000</v>
      </c>
      <c r="J21" s="20">
        <v>45828</v>
      </c>
      <c r="K21" s="7" t="s">
        <v>1007</v>
      </c>
      <c r="L21" s="2" t="s">
        <v>13</v>
      </c>
      <c r="M21" s="2" t="s">
        <v>31</v>
      </c>
    </row>
    <row r="22" spans="1:24" x14ac:dyDescent="0.35">
      <c r="A22" s="2">
        <v>10415</v>
      </c>
      <c r="B22" s="2" t="s">
        <v>451</v>
      </c>
      <c r="C22" s="2" t="s">
        <v>452</v>
      </c>
      <c r="D22" s="2" t="s">
        <v>23</v>
      </c>
      <c r="E22" s="2" t="s">
        <v>15</v>
      </c>
      <c r="F22" s="2" t="s">
        <v>49</v>
      </c>
      <c r="G22" s="2">
        <v>3</v>
      </c>
      <c r="H22" s="9">
        <v>199000</v>
      </c>
      <c r="I22" s="9">
        <v>597000</v>
      </c>
      <c r="J22" s="21">
        <v>45952</v>
      </c>
      <c r="K22" s="7" t="s">
        <v>1014</v>
      </c>
      <c r="L22" s="2" t="s">
        <v>17</v>
      </c>
      <c r="M22" s="2" t="s">
        <v>27</v>
      </c>
    </row>
    <row r="23" spans="1:24" x14ac:dyDescent="0.35">
      <c r="A23" s="2">
        <v>10172</v>
      </c>
      <c r="B23" s="2" t="s">
        <v>453</v>
      </c>
      <c r="C23" s="2" t="s">
        <v>436</v>
      </c>
      <c r="D23" s="2" t="s">
        <v>63</v>
      </c>
      <c r="E23" s="2" t="s">
        <v>11</v>
      </c>
      <c r="F23" s="2" t="s">
        <v>50</v>
      </c>
      <c r="G23" s="2">
        <v>5</v>
      </c>
      <c r="H23" s="9">
        <v>25000</v>
      </c>
      <c r="I23" s="9">
        <v>125000</v>
      </c>
      <c r="J23" s="21">
        <v>45803</v>
      </c>
      <c r="K23" s="7" t="s">
        <v>1006</v>
      </c>
      <c r="L23" s="2" t="s">
        <v>24</v>
      </c>
      <c r="M23" s="2" t="s">
        <v>20</v>
      </c>
    </row>
    <row r="24" spans="1:24" x14ac:dyDescent="0.35">
      <c r="A24" s="2">
        <v>10518</v>
      </c>
      <c r="B24" s="2" t="s">
        <v>454</v>
      </c>
      <c r="C24" s="2" t="s">
        <v>51</v>
      </c>
      <c r="D24" s="2" t="s">
        <v>86</v>
      </c>
      <c r="E24" s="2" t="s">
        <v>18</v>
      </c>
      <c r="F24" s="2" t="s">
        <v>52</v>
      </c>
      <c r="G24" s="2">
        <v>9</v>
      </c>
      <c r="H24" s="9">
        <v>99000</v>
      </c>
      <c r="I24" s="9">
        <v>891000</v>
      </c>
      <c r="J24" s="21">
        <v>45713</v>
      </c>
      <c r="K24" s="7" t="s">
        <v>1011</v>
      </c>
      <c r="L24" s="2" t="s">
        <v>24</v>
      </c>
      <c r="M24" s="2" t="s">
        <v>31</v>
      </c>
    </row>
    <row r="25" spans="1:24" x14ac:dyDescent="0.35">
      <c r="A25" s="2">
        <v>10231</v>
      </c>
      <c r="B25" s="2" t="s">
        <v>455</v>
      </c>
      <c r="C25" s="2" t="s">
        <v>53</v>
      </c>
      <c r="D25" s="2" t="s">
        <v>33</v>
      </c>
      <c r="E25" s="2" t="s">
        <v>34</v>
      </c>
      <c r="F25" s="2" t="s">
        <v>35</v>
      </c>
      <c r="G25" s="2">
        <v>4</v>
      </c>
      <c r="H25" s="9">
        <v>50000</v>
      </c>
      <c r="I25" s="9">
        <v>200000</v>
      </c>
      <c r="J25" s="21">
        <v>45666</v>
      </c>
      <c r="K25" s="7" t="s">
        <v>1005</v>
      </c>
      <c r="L25" s="2" t="s">
        <v>24</v>
      </c>
      <c r="M25" s="2" t="s">
        <v>20</v>
      </c>
    </row>
    <row r="26" spans="1:24" x14ac:dyDescent="0.35">
      <c r="A26" s="2">
        <v>10124</v>
      </c>
      <c r="B26" s="2" t="s">
        <v>456</v>
      </c>
      <c r="C26" s="2" t="s">
        <v>457</v>
      </c>
      <c r="D26" s="2" t="s">
        <v>23</v>
      </c>
      <c r="E26" s="2" t="s">
        <v>18</v>
      </c>
      <c r="F26" s="2" t="s">
        <v>19</v>
      </c>
      <c r="G26" s="2">
        <v>9</v>
      </c>
      <c r="H26" s="9">
        <v>15000</v>
      </c>
      <c r="I26" s="9">
        <v>135000</v>
      </c>
      <c r="J26" s="21">
        <v>45894</v>
      </c>
      <c r="K26" s="7" t="s">
        <v>1008</v>
      </c>
      <c r="L26" s="2" t="s">
        <v>36</v>
      </c>
      <c r="M26" s="2" t="s">
        <v>20</v>
      </c>
    </row>
    <row r="27" spans="1:24" x14ac:dyDescent="0.35">
      <c r="A27" s="2">
        <v>10195</v>
      </c>
      <c r="B27" s="2" t="s">
        <v>54</v>
      </c>
      <c r="C27" s="2" t="s">
        <v>458</v>
      </c>
      <c r="D27" s="2" t="s">
        <v>59</v>
      </c>
      <c r="E27" s="2" t="s">
        <v>15</v>
      </c>
      <c r="F27" s="2" t="s">
        <v>55</v>
      </c>
      <c r="G27" s="2">
        <v>10</v>
      </c>
      <c r="H27" s="9">
        <v>250000</v>
      </c>
      <c r="I27" s="9">
        <v>2500000</v>
      </c>
      <c r="J27" s="21">
        <v>46021</v>
      </c>
      <c r="K27" s="7" t="s">
        <v>1010</v>
      </c>
      <c r="L27" s="2" t="s">
        <v>40</v>
      </c>
      <c r="M27" s="2" t="s">
        <v>27</v>
      </c>
    </row>
    <row r="28" spans="1:24" x14ac:dyDescent="0.35">
      <c r="A28" s="2">
        <v>10095</v>
      </c>
      <c r="B28" s="2" t="s">
        <v>85</v>
      </c>
      <c r="C28" s="2" t="s">
        <v>56</v>
      </c>
      <c r="D28" s="2" t="s">
        <v>23</v>
      </c>
      <c r="E28" s="2" t="s">
        <v>18</v>
      </c>
      <c r="F28" s="2" t="s">
        <v>57</v>
      </c>
      <c r="G28" s="2">
        <v>4</v>
      </c>
      <c r="H28" s="9">
        <v>15000</v>
      </c>
      <c r="I28" s="9">
        <v>60000</v>
      </c>
      <c r="J28" s="21">
        <v>45883</v>
      </c>
      <c r="K28" s="7" t="s">
        <v>1008</v>
      </c>
      <c r="L28" s="2" t="s">
        <v>17</v>
      </c>
      <c r="M28" s="2" t="s">
        <v>20</v>
      </c>
    </row>
    <row r="29" spans="1:24" x14ac:dyDescent="0.35">
      <c r="A29" s="2">
        <v>10009</v>
      </c>
      <c r="B29" s="2" t="s">
        <v>58</v>
      </c>
      <c r="C29" s="2" t="s">
        <v>459</v>
      </c>
      <c r="D29" s="2" t="s">
        <v>59</v>
      </c>
      <c r="E29" s="2" t="s">
        <v>18</v>
      </c>
      <c r="F29" s="2" t="s">
        <v>19</v>
      </c>
      <c r="G29" s="2">
        <v>5</v>
      </c>
      <c r="H29" s="9">
        <v>250000</v>
      </c>
      <c r="I29" s="9">
        <v>1250000</v>
      </c>
      <c r="J29" s="21">
        <v>45817</v>
      </c>
      <c r="K29" s="7" t="s">
        <v>1007</v>
      </c>
      <c r="L29" s="2" t="s">
        <v>36</v>
      </c>
      <c r="M29" s="2" t="s">
        <v>27</v>
      </c>
    </row>
    <row r="30" spans="1:24" x14ac:dyDescent="0.35">
      <c r="A30" s="2">
        <v>10493</v>
      </c>
      <c r="B30" s="2" t="s">
        <v>460</v>
      </c>
      <c r="C30" s="2" t="s">
        <v>461</v>
      </c>
      <c r="D30" s="2" t="s">
        <v>117</v>
      </c>
      <c r="E30" s="2" t="s">
        <v>34</v>
      </c>
      <c r="F30" s="2" t="s">
        <v>45</v>
      </c>
      <c r="G30" s="2">
        <v>3</v>
      </c>
      <c r="H30" s="9">
        <v>15000</v>
      </c>
      <c r="I30" s="9">
        <v>45000</v>
      </c>
      <c r="J30" s="21">
        <v>45705</v>
      </c>
      <c r="K30" s="7" t="s">
        <v>1011</v>
      </c>
      <c r="L30" s="2" t="s">
        <v>40</v>
      </c>
      <c r="M30" s="2" t="s">
        <v>25</v>
      </c>
    </row>
    <row r="31" spans="1:24" x14ac:dyDescent="0.35">
      <c r="A31" s="2">
        <v>10568</v>
      </c>
      <c r="B31" s="2" t="s">
        <v>60</v>
      </c>
      <c r="C31" s="2" t="s">
        <v>462</v>
      </c>
      <c r="D31" s="2" t="s">
        <v>63</v>
      </c>
      <c r="E31" s="2" t="s">
        <v>11</v>
      </c>
      <c r="F31" s="2" t="s">
        <v>61</v>
      </c>
      <c r="G31" s="2">
        <v>7</v>
      </c>
      <c r="H31" s="9">
        <v>99000</v>
      </c>
      <c r="I31" s="9">
        <v>693000</v>
      </c>
      <c r="J31" s="21">
        <v>45884</v>
      </c>
      <c r="K31" s="7" t="s">
        <v>1008</v>
      </c>
      <c r="L31" s="2" t="s">
        <v>40</v>
      </c>
      <c r="M31" s="2" t="s">
        <v>20</v>
      </c>
    </row>
    <row r="32" spans="1:24" x14ac:dyDescent="0.35">
      <c r="A32" s="2">
        <v>10372</v>
      </c>
      <c r="B32" s="2" t="s">
        <v>333</v>
      </c>
      <c r="C32" s="2" t="s">
        <v>62</v>
      </c>
      <c r="D32" s="2" t="s">
        <v>63</v>
      </c>
      <c r="E32" s="2" t="s">
        <v>29</v>
      </c>
      <c r="F32" s="2" t="s">
        <v>64</v>
      </c>
      <c r="G32" s="2">
        <v>7</v>
      </c>
      <c r="H32" s="9">
        <v>25000</v>
      </c>
      <c r="I32" s="9">
        <v>175000</v>
      </c>
      <c r="J32" s="21">
        <v>45974</v>
      </c>
      <c r="K32" s="7" t="s">
        <v>1009</v>
      </c>
      <c r="L32" s="2" t="s">
        <v>36</v>
      </c>
      <c r="M32" s="2" t="s">
        <v>14</v>
      </c>
    </row>
    <row r="33" spans="1:13" x14ac:dyDescent="0.35">
      <c r="A33" s="2">
        <v>10093</v>
      </c>
      <c r="B33" s="2" t="s">
        <v>85</v>
      </c>
      <c r="C33" s="2" t="s">
        <v>65</v>
      </c>
      <c r="D33" s="2" t="s">
        <v>66</v>
      </c>
      <c r="E33" s="2" t="s">
        <v>29</v>
      </c>
      <c r="F33" s="2" t="s">
        <v>67</v>
      </c>
      <c r="G33" s="2">
        <v>6</v>
      </c>
      <c r="H33" s="9">
        <v>120000</v>
      </c>
      <c r="I33" s="9">
        <v>720000</v>
      </c>
      <c r="J33" s="21">
        <v>45923</v>
      </c>
      <c r="K33" s="7" t="s">
        <v>1015</v>
      </c>
      <c r="L33" s="2" t="s">
        <v>40</v>
      </c>
      <c r="M33" s="2" t="s">
        <v>31</v>
      </c>
    </row>
    <row r="34" spans="1:13" x14ac:dyDescent="0.35">
      <c r="A34" s="2">
        <v>10269</v>
      </c>
      <c r="B34" s="2" t="s">
        <v>142</v>
      </c>
      <c r="C34" s="2" t="s">
        <v>68</v>
      </c>
      <c r="D34" s="2" t="s">
        <v>117</v>
      </c>
      <c r="E34" s="2" t="s">
        <v>29</v>
      </c>
      <c r="F34" s="2" t="s">
        <v>41</v>
      </c>
      <c r="G34" s="2">
        <v>10</v>
      </c>
      <c r="H34" s="9">
        <v>15000</v>
      </c>
      <c r="I34" s="9">
        <v>150000</v>
      </c>
      <c r="J34" s="21">
        <v>45783</v>
      </c>
      <c r="K34" s="7" t="s">
        <v>1006</v>
      </c>
      <c r="L34" s="2" t="s">
        <v>13</v>
      </c>
      <c r="M34" s="2" t="s">
        <v>25</v>
      </c>
    </row>
    <row r="35" spans="1:13" x14ac:dyDescent="0.35">
      <c r="A35" s="2">
        <v>10094</v>
      </c>
      <c r="B35" s="2" t="s">
        <v>463</v>
      </c>
      <c r="C35" s="2" t="s">
        <v>464</v>
      </c>
      <c r="D35" s="2" t="s">
        <v>86</v>
      </c>
      <c r="E35" s="2" t="s">
        <v>29</v>
      </c>
      <c r="F35" s="2" t="s">
        <v>64</v>
      </c>
      <c r="G35" s="2">
        <v>6</v>
      </c>
      <c r="H35" s="9">
        <v>250000</v>
      </c>
      <c r="I35" s="9">
        <v>1500000</v>
      </c>
      <c r="J35" s="21">
        <v>45714</v>
      </c>
      <c r="K35" s="7" t="s">
        <v>1011</v>
      </c>
      <c r="L35" s="2" t="s">
        <v>40</v>
      </c>
      <c r="M35" s="2" t="s">
        <v>27</v>
      </c>
    </row>
    <row r="36" spans="1:13" x14ac:dyDescent="0.35">
      <c r="A36" s="2">
        <v>10167</v>
      </c>
      <c r="B36" s="2" t="s">
        <v>442</v>
      </c>
      <c r="C36" s="2" t="s">
        <v>465</v>
      </c>
      <c r="D36" s="2" t="s">
        <v>66</v>
      </c>
      <c r="E36" s="2" t="s">
        <v>29</v>
      </c>
      <c r="F36" s="2" t="s">
        <v>30</v>
      </c>
      <c r="G36" s="2">
        <v>4</v>
      </c>
      <c r="H36" s="9">
        <v>250000</v>
      </c>
      <c r="I36" s="9">
        <v>1000000</v>
      </c>
      <c r="J36" s="21">
        <v>45733</v>
      </c>
      <c r="K36" s="7" t="s">
        <v>1016</v>
      </c>
      <c r="L36" s="2" t="s">
        <v>13</v>
      </c>
      <c r="M36" s="2" t="s">
        <v>25</v>
      </c>
    </row>
    <row r="37" spans="1:13" x14ac:dyDescent="0.35">
      <c r="A37" s="2">
        <v>10277</v>
      </c>
      <c r="B37" s="2" t="s">
        <v>466</v>
      </c>
      <c r="C37" s="2" t="s">
        <v>69</v>
      </c>
      <c r="D37" s="2" t="s">
        <v>82</v>
      </c>
      <c r="E37" s="2" t="s">
        <v>18</v>
      </c>
      <c r="F37" s="2" t="s">
        <v>70</v>
      </c>
      <c r="G37" s="2">
        <v>6</v>
      </c>
      <c r="H37" s="9">
        <v>35000</v>
      </c>
      <c r="I37" s="9">
        <v>210000</v>
      </c>
      <c r="J37" s="21">
        <v>45708</v>
      </c>
      <c r="K37" s="7" t="s">
        <v>1011</v>
      </c>
      <c r="L37" s="2" t="s">
        <v>13</v>
      </c>
      <c r="M37" s="2" t="s">
        <v>31</v>
      </c>
    </row>
    <row r="38" spans="1:13" x14ac:dyDescent="0.35">
      <c r="A38" s="2">
        <v>10250</v>
      </c>
      <c r="B38" s="2" t="s">
        <v>467</v>
      </c>
      <c r="C38" s="2" t="s">
        <v>468</v>
      </c>
      <c r="D38" s="2" t="s">
        <v>63</v>
      </c>
      <c r="E38" s="2" t="s">
        <v>11</v>
      </c>
      <c r="F38" s="2" t="s">
        <v>71</v>
      </c>
      <c r="G38" s="2">
        <v>7</v>
      </c>
      <c r="H38" s="9">
        <v>75000</v>
      </c>
      <c r="I38" s="9">
        <v>525000</v>
      </c>
      <c r="J38" s="21">
        <v>45969</v>
      </c>
      <c r="K38" s="7" t="s">
        <v>1009</v>
      </c>
      <c r="L38" s="2" t="s">
        <v>36</v>
      </c>
      <c r="M38" s="2" t="s">
        <v>27</v>
      </c>
    </row>
    <row r="39" spans="1:13" x14ac:dyDescent="0.35">
      <c r="A39" s="2">
        <v>10044</v>
      </c>
      <c r="B39" s="2" t="s">
        <v>469</v>
      </c>
      <c r="C39" s="2" t="s">
        <v>470</v>
      </c>
      <c r="D39" s="2" t="s">
        <v>46</v>
      </c>
      <c r="E39" s="2" t="s">
        <v>34</v>
      </c>
      <c r="F39" s="2" t="s">
        <v>35</v>
      </c>
      <c r="G39" s="2">
        <v>5</v>
      </c>
      <c r="H39" s="9">
        <v>99000</v>
      </c>
      <c r="I39" s="9">
        <v>495000</v>
      </c>
      <c r="J39" s="21">
        <v>45832</v>
      </c>
      <c r="K39" s="7" t="s">
        <v>1007</v>
      </c>
      <c r="L39" s="2" t="s">
        <v>13</v>
      </c>
      <c r="M39" s="2" t="s">
        <v>25</v>
      </c>
    </row>
    <row r="40" spans="1:13" x14ac:dyDescent="0.35">
      <c r="A40" s="2">
        <v>10274</v>
      </c>
      <c r="B40" s="2" t="s">
        <v>232</v>
      </c>
      <c r="C40" s="2" t="s">
        <v>72</v>
      </c>
      <c r="D40" s="2" t="s">
        <v>46</v>
      </c>
      <c r="E40" s="2" t="s">
        <v>34</v>
      </c>
      <c r="F40" s="2" t="s">
        <v>37</v>
      </c>
      <c r="G40" s="2">
        <v>6</v>
      </c>
      <c r="H40" s="9">
        <v>75000</v>
      </c>
      <c r="I40" s="9">
        <v>450000</v>
      </c>
      <c r="J40" s="21">
        <v>45973</v>
      </c>
      <c r="K40" s="7" t="s">
        <v>1009</v>
      </c>
      <c r="L40" s="2" t="s">
        <v>40</v>
      </c>
      <c r="M40" s="2" t="s">
        <v>20</v>
      </c>
    </row>
    <row r="41" spans="1:13" x14ac:dyDescent="0.35">
      <c r="A41" s="2">
        <v>10181</v>
      </c>
      <c r="B41" s="2" t="s">
        <v>471</v>
      </c>
      <c r="C41" s="2" t="s">
        <v>472</v>
      </c>
      <c r="D41" s="2" t="s">
        <v>148</v>
      </c>
      <c r="E41" s="2" t="s">
        <v>15</v>
      </c>
      <c r="F41" s="2" t="s">
        <v>73</v>
      </c>
      <c r="G41" s="2">
        <v>4</v>
      </c>
      <c r="H41" s="9">
        <v>35000</v>
      </c>
      <c r="I41" s="9">
        <v>140000</v>
      </c>
      <c r="J41" s="21">
        <v>45864</v>
      </c>
      <c r="K41" s="7" t="s">
        <v>1013</v>
      </c>
      <c r="L41" s="2" t="s">
        <v>24</v>
      </c>
      <c r="M41" s="2" t="s">
        <v>31</v>
      </c>
    </row>
    <row r="42" spans="1:13" x14ac:dyDescent="0.35">
      <c r="A42" s="2">
        <v>10031</v>
      </c>
      <c r="B42" s="2" t="s">
        <v>473</v>
      </c>
      <c r="C42" s="2" t="s">
        <v>474</v>
      </c>
      <c r="D42" s="2" t="s">
        <v>82</v>
      </c>
      <c r="E42" s="2" t="s">
        <v>15</v>
      </c>
      <c r="F42" s="2" t="s">
        <v>55</v>
      </c>
      <c r="G42" s="2">
        <v>10</v>
      </c>
      <c r="H42" s="9">
        <v>250000</v>
      </c>
      <c r="I42" s="9">
        <v>2500000</v>
      </c>
      <c r="J42" s="21">
        <v>45852</v>
      </c>
      <c r="K42" s="7" t="s">
        <v>1013</v>
      </c>
      <c r="L42" s="2" t="s">
        <v>17</v>
      </c>
      <c r="M42" s="2" t="s">
        <v>14</v>
      </c>
    </row>
    <row r="43" spans="1:13" x14ac:dyDescent="0.35">
      <c r="A43" s="2">
        <v>10179</v>
      </c>
      <c r="B43" s="2" t="s">
        <v>475</v>
      </c>
      <c r="C43" s="2" t="s">
        <v>436</v>
      </c>
      <c r="D43" s="2" t="s">
        <v>33</v>
      </c>
      <c r="E43" s="2" t="s">
        <v>18</v>
      </c>
      <c r="F43" s="2" t="s">
        <v>52</v>
      </c>
      <c r="G43" s="2">
        <v>7</v>
      </c>
      <c r="H43" s="9">
        <v>99000</v>
      </c>
      <c r="I43" s="9">
        <v>693000</v>
      </c>
      <c r="J43" s="21">
        <v>45877</v>
      </c>
      <c r="K43" s="7" t="s">
        <v>1008</v>
      </c>
      <c r="L43" s="2" t="s">
        <v>40</v>
      </c>
      <c r="M43" s="2" t="s">
        <v>20</v>
      </c>
    </row>
    <row r="44" spans="1:13" x14ac:dyDescent="0.35">
      <c r="A44" s="2">
        <v>10400</v>
      </c>
      <c r="B44" s="2" t="s">
        <v>476</v>
      </c>
      <c r="C44" s="2" t="s">
        <v>477</v>
      </c>
      <c r="D44" s="2" t="s">
        <v>117</v>
      </c>
      <c r="E44" s="2" t="s">
        <v>18</v>
      </c>
      <c r="F44" s="2" t="s">
        <v>52</v>
      </c>
      <c r="G44" s="2">
        <v>3</v>
      </c>
      <c r="H44" s="9">
        <v>45000</v>
      </c>
      <c r="I44" s="9">
        <v>135000</v>
      </c>
      <c r="J44" s="21">
        <v>45994</v>
      </c>
      <c r="K44" s="7" t="s">
        <v>1010</v>
      </c>
      <c r="L44" s="2" t="s">
        <v>24</v>
      </c>
      <c r="M44" s="2" t="s">
        <v>14</v>
      </c>
    </row>
    <row r="45" spans="1:13" x14ac:dyDescent="0.35">
      <c r="A45" s="2">
        <v>10444</v>
      </c>
      <c r="B45" s="2" t="s">
        <v>478</v>
      </c>
      <c r="C45" s="2" t="s">
        <v>74</v>
      </c>
      <c r="D45" s="2" t="s">
        <v>59</v>
      </c>
      <c r="E45" s="2" t="s">
        <v>29</v>
      </c>
      <c r="F45" s="2" t="s">
        <v>64</v>
      </c>
      <c r="G45" s="2">
        <v>8</v>
      </c>
      <c r="H45" s="9">
        <v>250000</v>
      </c>
      <c r="I45" s="9">
        <v>2000000</v>
      </c>
      <c r="J45" s="21">
        <v>45741</v>
      </c>
      <c r="K45" s="7" t="s">
        <v>1016</v>
      </c>
      <c r="L45" s="2" t="s">
        <v>13</v>
      </c>
      <c r="M45" s="2" t="s">
        <v>31</v>
      </c>
    </row>
    <row r="46" spans="1:13" x14ac:dyDescent="0.35">
      <c r="A46" s="2">
        <v>10403</v>
      </c>
      <c r="B46" s="2" t="s">
        <v>471</v>
      </c>
      <c r="C46" s="2" t="s">
        <v>479</v>
      </c>
      <c r="D46" s="2" t="s">
        <v>23</v>
      </c>
      <c r="E46" s="2" t="s">
        <v>34</v>
      </c>
      <c r="F46" s="2" t="s">
        <v>35</v>
      </c>
      <c r="G46" s="2">
        <v>6</v>
      </c>
      <c r="H46" s="9">
        <v>15000</v>
      </c>
      <c r="I46" s="9">
        <v>90000</v>
      </c>
      <c r="J46" s="21">
        <v>45840</v>
      </c>
      <c r="K46" s="7" t="s">
        <v>1013</v>
      </c>
      <c r="L46" s="2" t="s">
        <v>17</v>
      </c>
      <c r="M46" s="2" t="s">
        <v>14</v>
      </c>
    </row>
    <row r="47" spans="1:13" x14ac:dyDescent="0.35">
      <c r="A47" s="2">
        <v>10382</v>
      </c>
      <c r="B47" s="2" t="s">
        <v>179</v>
      </c>
      <c r="C47" s="2" t="s">
        <v>436</v>
      </c>
      <c r="D47" s="2" t="s">
        <v>148</v>
      </c>
      <c r="E47" s="2" t="s">
        <v>15</v>
      </c>
      <c r="F47" s="2" t="s">
        <v>16</v>
      </c>
      <c r="G47" s="2">
        <v>5</v>
      </c>
      <c r="H47" s="9">
        <v>50000</v>
      </c>
      <c r="I47" s="9">
        <v>250000</v>
      </c>
      <c r="J47" s="21">
        <v>45768</v>
      </c>
      <c r="K47" s="7" t="s">
        <v>1012</v>
      </c>
      <c r="L47" s="2" t="s">
        <v>36</v>
      </c>
      <c r="M47" s="2" t="s">
        <v>20</v>
      </c>
    </row>
    <row r="48" spans="1:13" x14ac:dyDescent="0.35">
      <c r="A48" s="2">
        <v>10576</v>
      </c>
      <c r="B48" s="2" t="s">
        <v>75</v>
      </c>
      <c r="C48" s="2" t="s">
        <v>76</v>
      </c>
      <c r="D48" s="2" t="s">
        <v>86</v>
      </c>
      <c r="E48" s="2" t="s">
        <v>34</v>
      </c>
      <c r="F48" s="2" t="s">
        <v>77</v>
      </c>
      <c r="G48" s="2">
        <v>8</v>
      </c>
      <c r="H48" s="9">
        <v>150000</v>
      </c>
      <c r="I48" s="9">
        <v>1200000</v>
      </c>
      <c r="J48" s="21">
        <v>45913</v>
      </c>
      <c r="K48" s="7" t="s">
        <v>1015</v>
      </c>
      <c r="L48" s="2" t="s">
        <v>17</v>
      </c>
      <c r="M48" s="2" t="s">
        <v>31</v>
      </c>
    </row>
    <row r="49" spans="1:13" x14ac:dyDescent="0.35">
      <c r="A49" s="2">
        <v>10321</v>
      </c>
      <c r="B49" s="2" t="s">
        <v>480</v>
      </c>
      <c r="C49" s="2" t="s">
        <v>78</v>
      </c>
      <c r="D49" s="2" t="s">
        <v>148</v>
      </c>
      <c r="E49" s="2" t="s">
        <v>15</v>
      </c>
      <c r="F49" s="2" t="s">
        <v>73</v>
      </c>
      <c r="G49" s="2">
        <v>2</v>
      </c>
      <c r="H49" s="9">
        <v>120000</v>
      </c>
      <c r="I49" s="9">
        <v>240000</v>
      </c>
      <c r="J49" s="21">
        <v>45678</v>
      </c>
      <c r="K49" s="7" t="s">
        <v>1005</v>
      </c>
      <c r="L49" s="2" t="s">
        <v>36</v>
      </c>
      <c r="M49" s="2" t="s">
        <v>27</v>
      </c>
    </row>
    <row r="50" spans="1:13" x14ac:dyDescent="0.35">
      <c r="A50" s="2">
        <v>10409</v>
      </c>
      <c r="B50" s="2" t="s">
        <v>481</v>
      </c>
      <c r="C50" s="2" t="s">
        <v>482</v>
      </c>
      <c r="D50" s="2" t="s">
        <v>23</v>
      </c>
      <c r="E50" s="2" t="s">
        <v>29</v>
      </c>
      <c r="F50" s="2" t="s">
        <v>64</v>
      </c>
      <c r="G50" s="2">
        <v>2</v>
      </c>
      <c r="H50" s="9">
        <v>50000</v>
      </c>
      <c r="I50" s="9">
        <v>100000</v>
      </c>
      <c r="J50" s="21">
        <v>45914</v>
      </c>
      <c r="K50" s="7" t="s">
        <v>1015</v>
      </c>
      <c r="L50" s="2" t="s">
        <v>13</v>
      </c>
      <c r="M50" s="2" t="s">
        <v>27</v>
      </c>
    </row>
    <row r="51" spans="1:13" x14ac:dyDescent="0.35">
      <c r="A51" s="2">
        <v>10520</v>
      </c>
      <c r="B51" s="2" t="s">
        <v>158</v>
      </c>
      <c r="C51" s="2" t="s">
        <v>436</v>
      </c>
      <c r="D51" s="2" t="s">
        <v>148</v>
      </c>
      <c r="E51" s="2" t="s">
        <v>15</v>
      </c>
      <c r="F51" s="2" t="s">
        <v>42</v>
      </c>
      <c r="G51" s="2">
        <v>1</v>
      </c>
      <c r="H51" s="9">
        <v>250000</v>
      </c>
      <c r="I51" s="9">
        <v>250000</v>
      </c>
      <c r="J51" s="21">
        <v>45900</v>
      </c>
      <c r="K51" s="7" t="s">
        <v>1008</v>
      </c>
      <c r="L51" s="2" t="s">
        <v>40</v>
      </c>
      <c r="M51" s="2" t="s">
        <v>25</v>
      </c>
    </row>
    <row r="52" spans="1:13" x14ac:dyDescent="0.35">
      <c r="A52" s="2">
        <v>10004</v>
      </c>
      <c r="B52" s="2" t="s">
        <v>215</v>
      </c>
      <c r="C52" s="2" t="s">
        <v>79</v>
      </c>
      <c r="D52" s="2" t="s">
        <v>82</v>
      </c>
      <c r="E52" s="2" t="s">
        <v>11</v>
      </c>
      <c r="F52" s="2" t="s">
        <v>50</v>
      </c>
      <c r="G52" s="2">
        <v>4</v>
      </c>
      <c r="H52" s="9">
        <v>150000</v>
      </c>
      <c r="I52" s="9">
        <v>600000</v>
      </c>
      <c r="J52" s="21">
        <v>45933</v>
      </c>
      <c r="K52" s="7" t="s">
        <v>1014</v>
      </c>
      <c r="L52" s="2" t="s">
        <v>17</v>
      </c>
      <c r="M52" s="2" t="s">
        <v>27</v>
      </c>
    </row>
    <row r="53" spans="1:13" x14ac:dyDescent="0.35">
      <c r="A53" s="2">
        <v>10287</v>
      </c>
      <c r="B53" s="2" t="s">
        <v>80</v>
      </c>
      <c r="C53" s="2" t="s">
        <v>483</v>
      </c>
      <c r="D53" s="2" t="s">
        <v>66</v>
      </c>
      <c r="E53" s="2" t="s">
        <v>15</v>
      </c>
      <c r="F53" s="2" t="s">
        <v>49</v>
      </c>
      <c r="G53" s="2">
        <v>3</v>
      </c>
      <c r="H53" s="9">
        <v>25000</v>
      </c>
      <c r="I53" s="9">
        <v>75000</v>
      </c>
      <c r="J53" s="21">
        <v>45994</v>
      </c>
      <c r="K53" s="7" t="s">
        <v>1010</v>
      </c>
      <c r="L53" s="2" t="s">
        <v>40</v>
      </c>
      <c r="M53" s="2" t="s">
        <v>20</v>
      </c>
    </row>
    <row r="54" spans="1:13" x14ac:dyDescent="0.35">
      <c r="A54" s="2">
        <v>10470</v>
      </c>
      <c r="B54" s="2" t="s">
        <v>484</v>
      </c>
      <c r="C54" s="2" t="s">
        <v>485</v>
      </c>
      <c r="D54" s="2" t="s">
        <v>66</v>
      </c>
      <c r="E54" s="2" t="s">
        <v>34</v>
      </c>
      <c r="F54" s="2" t="s">
        <v>45</v>
      </c>
      <c r="G54" s="2">
        <v>3</v>
      </c>
      <c r="H54" s="9">
        <v>50000</v>
      </c>
      <c r="I54" s="9">
        <v>150000</v>
      </c>
      <c r="J54" s="21">
        <v>45684</v>
      </c>
      <c r="K54" s="7" t="s">
        <v>1005</v>
      </c>
      <c r="L54" s="2" t="s">
        <v>36</v>
      </c>
      <c r="M54" s="2" t="s">
        <v>31</v>
      </c>
    </row>
    <row r="55" spans="1:13" x14ac:dyDescent="0.35">
      <c r="A55" s="2">
        <v>10154</v>
      </c>
      <c r="B55" s="2" t="s">
        <v>486</v>
      </c>
      <c r="C55" s="2" t="s">
        <v>487</v>
      </c>
      <c r="D55" s="2" t="s">
        <v>117</v>
      </c>
      <c r="E55" s="2" t="s">
        <v>15</v>
      </c>
      <c r="F55" s="2" t="s">
        <v>49</v>
      </c>
      <c r="G55" s="2">
        <v>1</v>
      </c>
      <c r="H55" s="9">
        <v>99000</v>
      </c>
      <c r="I55" s="9">
        <v>99000</v>
      </c>
      <c r="J55" s="21">
        <v>46007</v>
      </c>
      <c r="K55" s="7" t="s">
        <v>1010</v>
      </c>
      <c r="L55" s="2" t="s">
        <v>40</v>
      </c>
      <c r="M55" s="2" t="s">
        <v>31</v>
      </c>
    </row>
    <row r="56" spans="1:13" x14ac:dyDescent="0.35">
      <c r="A56" s="2">
        <v>10562</v>
      </c>
      <c r="B56" s="2" t="s">
        <v>488</v>
      </c>
      <c r="C56" s="2" t="s">
        <v>436</v>
      </c>
      <c r="D56" s="2" t="s">
        <v>63</v>
      </c>
      <c r="E56" s="2" t="s">
        <v>34</v>
      </c>
      <c r="F56" s="2" t="s">
        <v>35</v>
      </c>
      <c r="G56" s="2">
        <v>10</v>
      </c>
      <c r="H56" s="9">
        <v>15000</v>
      </c>
      <c r="I56" s="9">
        <v>150000</v>
      </c>
      <c r="J56" s="21">
        <v>45757</v>
      </c>
      <c r="K56" s="7" t="s">
        <v>1012</v>
      </c>
      <c r="L56" s="2" t="s">
        <v>13</v>
      </c>
      <c r="M56" s="2" t="s">
        <v>31</v>
      </c>
    </row>
    <row r="57" spans="1:13" x14ac:dyDescent="0.35">
      <c r="A57" s="2">
        <v>10547</v>
      </c>
      <c r="B57" s="2" t="s">
        <v>120</v>
      </c>
      <c r="C57" s="2" t="s">
        <v>489</v>
      </c>
      <c r="D57" s="2" t="s">
        <v>33</v>
      </c>
      <c r="E57" s="2" t="s">
        <v>15</v>
      </c>
      <c r="F57" s="2" t="s">
        <v>16</v>
      </c>
      <c r="G57" s="2">
        <v>5</v>
      </c>
      <c r="H57" s="9">
        <v>50000</v>
      </c>
      <c r="I57" s="9">
        <v>250000</v>
      </c>
      <c r="J57" s="21">
        <v>45959</v>
      </c>
      <c r="K57" s="7" t="s">
        <v>1014</v>
      </c>
      <c r="L57" s="2" t="s">
        <v>40</v>
      </c>
      <c r="M57" s="2" t="s">
        <v>25</v>
      </c>
    </row>
    <row r="58" spans="1:13" x14ac:dyDescent="0.35">
      <c r="A58" s="2">
        <v>10481</v>
      </c>
      <c r="B58" s="2" t="s">
        <v>490</v>
      </c>
      <c r="C58" s="2" t="s">
        <v>491</v>
      </c>
      <c r="D58" s="2" t="s">
        <v>33</v>
      </c>
      <c r="E58" s="2" t="s">
        <v>29</v>
      </c>
      <c r="F58" s="2" t="s">
        <v>81</v>
      </c>
      <c r="G58" s="2">
        <v>10</v>
      </c>
      <c r="H58" s="9">
        <v>99000</v>
      </c>
      <c r="I58" s="9">
        <v>990000</v>
      </c>
      <c r="J58" s="21">
        <v>45734</v>
      </c>
      <c r="K58" s="7" t="s">
        <v>1016</v>
      </c>
      <c r="L58" s="2" t="s">
        <v>36</v>
      </c>
      <c r="M58" s="2" t="s">
        <v>20</v>
      </c>
    </row>
    <row r="59" spans="1:13" x14ac:dyDescent="0.35">
      <c r="A59" s="2">
        <v>10373</v>
      </c>
      <c r="B59" s="2" t="s">
        <v>492</v>
      </c>
      <c r="C59" s="2" t="s">
        <v>493</v>
      </c>
      <c r="D59" s="2" t="s">
        <v>82</v>
      </c>
      <c r="E59" s="2" t="s">
        <v>29</v>
      </c>
      <c r="F59" s="2" t="s">
        <v>41</v>
      </c>
      <c r="G59" s="2">
        <v>10</v>
      </c>
      <c r="H59" s="9">
        <v>25000</v>
      </c>
      <c r="I59" s="9">
        <v>250000</v>
      </c>
      <c r="J59" s="21">
        <v>45945</v>
      </c>
      <c r="K59" s="7" t="s">
        <v>1014</v>
      </c>
      <c r="L59" s="2" t="s">
        <v>24</v>
      </c>
      <c r="M59" s="2" t="s">
        <v>27</v>
      </c>
    </row>
    <row r="60" spans="1:13" x14ac:dyDescent="0.35">
      <c r="A60" s="2">
        <v>10386</v>
      </c>
      <c r="B60" s="2" t="s">
        <v>83</v>
      </c>
      <c r="C60" s="2" t="s">
        <v>494</v>
      </c>
      <c r="D60" s="2" t="s">
        <v>59</v>
      </c>
      <c r="E60" s="2" t="s">
        <v>34</v>
      </c>
      <c r="F60" s="2" t="s">
        <v>47</v>
      </c>
      <c r="G60" s="2">
        <v>1</v>
      </c>
      <c r="H60" s="9">
        <v>150000</v>
      </c>
      <c r="I60" s="9">
        <v>150000</v>
      </c>
      <c r="J60" s="20">
        <v>45820</v>
      </c>
      <c r="K60" s="7" t="s">
        <v>1007</v>
      </c>
      <c r="L60" s="2" t="s">
        <v>40</v>
      </c>
      <c r="M60" s="2" t="s">
        <v>25</v>
      </c>
    </row>
    <row r="61" spans="1:13" x14ac:dyDescent="0.35">
      <c r="A61" s="2">
        <v>10163</v>
      </c>
      <c r="B61" s="2" t="s">
        <v>152</v>
      </c>
      <c r="C61" s="2" t="s">
        <v>84</v>
      </c>
      <c r="D61" s="2" t="s">
        <v>117</v>
      </c>
      <c r="E61" s="2" t="s">
        <v>29</v>
      </c>
      <c r="F61" s="2" t="s">
        <v>81</v>
      </c>
      <c r="G61" s="2">
        <v>6</v>
      </c>
      <c r="H61" s="9">
        <v>45000</v>
      </c>
      <c r="I61" s="9">
        <v>270000</v>
      </c>
      <c r="J61" s="20">
        <v>45755</v>
      </c>
      <c r="K61" s="7" t="s">
        <v>1012</v>
      </c>
      <c r="L61" s="2" t="s">
        <v>40</v>
      </c>
      <c r="M61" s="2" t="s">
        <v>27</v>
      </c>
    </row>
    <row r="62" spans="1:13" x14ac:dyDescent="0.35">
      <c r="A62" s="2">
        <v>10388</v>
      </c>
      <c r="B62" s="2" t="s">
        <v>85</v>
      </c>
      <c r="C62" s="2" t="s">
        <v>495</v>
      </c>
      <c r="D62" s="2" t="s">
        <v>86</v>
      </c>
      <c r="E62" s="2" t="s">
        <v>11</v>
      </c>
      <c r="F62" s="2" t="s">
        <v>71</v>
      </c>
      <c r="G62" s="2">
        <v>9</v>
      </c>
      <c r="H62" s="9">
        <v>99000</v>
      </c>
      <c r="I62" s="9">
        <v>891000</v>
      </c>
      <c r="J62" s="21">
        <v>45691</v>
      </c>
      <c r="K62" s="7" t="s">
        <v>1011</v>
      </c>
      <c r="L62" s="2" t="s">
        <v>40</v>
      </c>
      <c r="M62" s="2" t="s">
        <v>14</v>
      </c>
    </row>
    <row r="63" spans="1:13" x14ac:dyDescent="0.35">
      <c r="A63" s="2">
        <v>10361</v>
      </c>
      <c r="B63" s="2" t="s">
        <v>496</v>
      </c>
      <c r="C63" s="2" t="s">
        <v>497</v>
      </c>
      <c r="D63" s="2" t="s">
        <v>82</v>
      </c>
      <c r="E63" s="2" t="s">
        <v>18</v>
      </c>
      <c r="F63" s="2" t="s">
        <v>19</v>
      </c>
      <c r="G63" s="2">
        <v>4</v>
      </c>
      <c r="H63" s="9">
        <v>15000</v>
      </c>
      <c r="I63" s="9">
        <v>60000</v>
      </c>
      <c r="J63" s="21">
        <v>45987</v>
      </c>
      <c r="K63" s="7" t="s">
        <v>1009</v>
      </c>
      <c r="L63" s="2" t="s">
        <v>17</v>
      </c>
      <c r="M63" s="2" t="s">
        <v>25</v>
      </c>
    </row>
    <row r="64" spans="1:13" x14ac:dyDescent="0.35">
      <c r="A64" s="2">
        <v>10355</v>
      </c>
      <c r="B64" s="2" t="s">
        <v>498</v>
      </c>
      <c r="C64" s="2" t="s">
        <v>499</v>
      </c>
      <c r="D64" s="2" t="s">
        <v>46</v>
      </c>
      <c r="E64" s="2" t="s">
        <v>15</v>
      </c>
      <c r="F64" s="2" t="s">
        <v>16</v>
      </c>
      <c r="G64" s="2">
        <v>1</v>
      </c>
      <c r="H64" s="9">
        <v>120000</v>
      </c>
      <c r="I64" s="9">
        <v>120000</v>
      </c>
      <c r="J64" s="21">
        <v>45726</v>
      </c>
      <c r="K64" s="7" t="s">
        <v>1016</v>
      </c>
      <c r="L64" s="2" t="s">
        <v>17</v>
      </c>
      <c r="M64" s="2" t="s">
        <v>20</v>
      </c>
    </row>
    <row r="65" spans="1:13" x14ac:dyDescent="0.35">
      <c r="A65" s="2">
        <v>10229</v>
      </c>
      <c r="B65" s="2" t="s">
        <v>500</v>
      </c>
      <c r="C65" s="2" t="s">
        <v>501</v>
      </c>
      <c r="D65" s="2" t="s">
        <v>63</v>
      </c>
      <c r="E65" s="2" t="s">
        <v>34</v>
      </c>
      <c r="F65" s="2" t="s">
        <v>45</v>
      </c>
      <c r="G65" s="2">
        <v>8</v>
      </c>
      <c r="H65" s="9">
        <v>199000</v>
      </c>
      <c r="I65" s="9">
        <v>1592000</v>
      </c>
      <c r="J65" s="21">
        <v>45833</v>
      </c>
      <c r="K65" s="7" t="s">
        <v>1007</v>
      </c>
      <c r="L65" s="2" t="s">
        <v>17</v>
      </c>
      <c r="M65" s="2" t="s">
        <v>31</v>
      </c>
    </row>
    <row r="66" spans="1:13" x14ac:dyDescent="0.35">
      <c r="A66" s="2">
        <v>10511</v>
      </c>
      <c r="B66" s="2" t="s">
        <v>502</v>
      </c>
      <c r="C66" s="2" t="s">
        <v>436</v>
      </c>
      <c r="D66" s="2" t="s">
        <v>86</v>
      </c>
      <c r="E66" s="2" t="s">
        <v>11</v>
      </c>
      <c r="F66" s="2" t="s">
        <v>71</v>
      </c>
      <c r="G66" s="2">
        <v>2</v>
      </c>
      <c r="H66" s="9">
        <v>150000</v>
      </c>
      <c r="I66" s="9">
        <v>300000</v>
      </c>
      <c r="J66" s="21">
        <v>45936</v>
      </c>
      <c r="K66" s="7" t="s">
        <v>1014</v>
      </c>
      <c r="L66" s="2" t="s">
        <v>40</v>
      </c>
      <c r="M66" s="2" t="s">
        <v>27</v>
      </c>
    </row>
    <row r="67" spans="1:13" x14ac:dyDescent="0.35">
      <c r="A67" s="2">
        <v>10106</v>
      </c>
      <c r="B67" s="2" t="s">
        <v>503</v>
      </c>
      <c r="C67" s="2" t="s">
        <v>87</v>
      </c>
      <c r="D67" s="2" t="s">
        <v>117</v>
      </c>
      <c r="E67" s="2" t="s">
        <v>34</v>
      </c>
      <c r="F67" s="2" t="s">
        <v>37</v>
      </c>
      <c r="G67" s="2">
        <v>1</v>
      </c>
      <c r="H67" s="9">
        <v>15000</v>
      </c>
      <c r="I67" s="9">
        <v>15000</v>
      </c>
      <c r="J67" s="20">
        <v>45810</v>
      </c>
      <c r="K67" s="7" t="s">
        <v>1007</v>
      </c>
      <c r="L67" s="2" t="s">
        <v>40</v>
      </c>
      <c r="M67" s="2" t="s">
        <v>27</v>
      </c>
    </row>
    <row r="68" spans="1:13" x14ac:dyDescent="0.35">
      <c r="A68" s="2">
        <v>10406</v>
      </c>
      <c r="B68" s="2" t="s">
        <v>504</v>
      </c>
      <c r="C68" s="2" t="s">
        <v>505</v>
      </c>
      <c r="D68" s="2" t="s">
        <v>23</v>
      </c>
      <c r="E68" s="2" t="s">
        <v>11</v>
      </c>
      <c r="F68" s="2" t="s">
        <v>50</v>
      </c>
      <c r="G68" s="2">
        <v>9</v>
      </c>
      <c r="H68" s="9">
        <v>199000</v>
      </c>
      <c r="I68" s="9">
        <v>1791000</v>
      </c>
      <c r="J68" s="21">
        <v>45908</v>
      </c>
      <c r="K68" s="7" t="s">
        <v>1015</v>
      </c>
      <c r="L68" s="2" t="s">
        <v>36</v>
      </c>
      <c r="M68" s="2" t="s">
        <v>14</v>
      </c>
    </row>
    <row r="69" spans="1:13" x14ac:dyDescent="0.35">
      <c r="A69" s="2">
        <v>10599</v>
      </c>
      <c r="B69" s="2" t="s">
        <v>456</v>
      </c>
      <c r="C69" s="2" t="s">
        <v>88</v>
      </c>
      <c r="D69" s="2" t="s">
        <v>66</v>
      </c>
      <c r="E69" s="2" t="s">
        <v>11</v>
      </c>
      <c r="F69" s="2" t="s">
        <v>50</v>
      </c>
      <c r="G69" s="2">
        <v>10</v>
      </c>
      <c r="H69" s="9">
        <v>150000</v>
      </c>
      <c r="I69" s="9">
        <v>1500000</v>
      </c>
      <c r="J69" s="21">
        <v>45854</v>
      </c>
      <c r="K69" s="7" t="s">
        <v>1013</v>
      </c>
      <c r="L69" s="2" t="s">
        <v>40</v>
      </c>
      <c r="M69" s="2" t="s">
        <v>14</v>
      </c>
    </row>
    <row r="70" spans="1:13" x14ac:dyDescent="0.35">
      <c r="A70" s="2">
        <v>10495</v>
      </c>
      <c r="B70" s="2" t="s">
        <v>506</v>
      </c>
      <c r="C70" s="2" t="s">
        <v>507</v>
      </c>
      <c r="D70" s="2" t="s">
        <v>59</v>
      </c>
      <c r="E70" s="2" t="s">
        <v>15</v>
      </c>
      <c r="F70" s="2" t="s">
        <v>73</v>
      </c>
      <c r="G70" s="2">
        <v>9</v>
      </c>
      <c r="H70" s="9">
        <v>15000</v>
      </c>
      <c r="I70" s="9">
        <v>135000</v>
      </c>
      <c r="J70" s="21">
        <v>45888</v>
      </c>
      <c r="K70" s="7" t="s">
        <v>1008</v>
      </c>
      <c r="L70" s="2" t="s">
        <v>36</v>
      </c>
      <c r="M70" s="2" t="s">
        <v>20</v>
      </c>
    </row>
    <row r="71" spans="1:13" x14ac:dyDescent="0.35">
      <c r="A71" s="2">
        <v>10032</v>
      </c>
      <c r="B71" s="2" t="s">
        <v>89</v>
      </c>
      <c r="C71" s="2" t="s">
        <v>508</v>
      </c>
      <c r="D71" s="2" t="s">
        <v>23</v>
      </c>
      <c r="E71" s="2" t="s">
        <v>15</v>
      </c>
      <c r="F71" s="2" t="s">
        <v>49</v>
      </c>
      <c r="G71" s="2">
        <v>9</v>
      </c>
      <c r="H71" s="9">
        <v>45000</v>
      </c>
      <c r="I71" s="9">
        <v>405000</v>
      </c>
      <c r="J71" s="21">
        <v>46011</v>
      </c>
      <c r="K71" s="7" t="s">
        <v>1010</v>
      </c>
      <c r="L71" s="2" t="s">
        <v>40</v>
      </c>
      <c r="M71" s="2" t="s">
        <v>20</v>
      </c>
    </row>
    <row r="72" spans="1:13" x14ac:dyDescent="0.35">
      <c r="A72" s="2">
        <v>10202</v>
      </c>
      <c r="B72" s="2" t="s">
        <v>90</v>
      </c>
      <c r="C72" s="2" t="s">
        <v>91</v>
      </c>
      <c r="D72" s="2" t="s">
        <v>33</v>
      </c>
      <c r="E72" s="2" t="s">
        <v>29</v>
      </c>
      <c r="F72" s="2" t="s">
        <v>67</v>
      </c>
      <c r="G72" s="2">
        <v>5</v>
      </c>
      <c r="H72" s="9">
        <v>150000</v>
      </c>
      <c r="I72" s="9">
        <v>750000</v>
      </c>
      <c r="J72" s="21">
        <v>45810</v>
      </c>
      <c r="K72" s="7" t="s">
        <v>1007</v>
      </c>
      <c r="L72" s="2" t="s">
        <v>13</v>
      </c>
      <c r="M72" s="2" t="s">
        <v>31</v>
      </c>
    </row>
    <row r="73" spans="1:13" x14ac:dyDescent="0.35">
      <c r="A73" s="2">
        <v>10198</v>
      </c>
      <c r="B73" s="2" t="s">
        <v>509</v>
      </c>
      <c r="C73" s="2" t="s">
        <v>92</v>
      </c>
      <c r="D73" s="2" t="s">
        <v>86</v>
      </c>
      <c r="E73" s="2" t="s">
        <v>11</v>
      </c>
      <c r="F73" s="2" t="s">
        <v>50</v>
      </c>
      <c r="G73" s="2">
        <v>3</v>
      </c>
      <c r="H73" s="9">
        <v>199000</v>
      </c>
      <c r="I73" s="9">
        <v>597000</v>
      </c>
      <c r="J73" s="21">
        <v>45788</v>
      </c>
      <c r="K73" s="7" t="s">
        <v>1006</v>
      </c>
      <c r="L73" s="2" t="s">
        <v>24</v>
      </c>
      <c r="M73" s="2" t="s">
        <v>25</v>
      </c>
    </row>
    <row r="74" spans="1:13" x14ac:dyDescent="0.35">
      <c r="A74" s="2">
        <v>10341</v>
      </c>
      <c r="B74" s="2" t="s">
        <v>325</v>
      </c>
      <c r="C74" s="2" t="s">
        <v>93</v>
      </c>
      <c r="D74" s="2" t="s">
        <v>46</v>
      </c>
      <c r="E74" s="2" t="s">
        <v>15</v>
      </c>
      <c r="F74" s="2" t="s">
        <v>73</v>
      </c>
      <c r="G74" s="2">
        <v>1</v>
      </c>
      <c r="H74" s="9">
        <v>120000</v>
      </c>
      <c r="I74" s="9">
        <v>120000</v>
      </c>
      <c r="J74" s="21">
        <v>45959</v>
      </c>
      <c r="K74" s="7" t="s">
        <v>1014</v>
      </c>
      <c r="L74" s="2" t="s">
        <v>24</v>
      </c>
      <c r="M74" s="2" t="s">
        <v>25</v>
      </c>
    </row>
    <row r="75" spans="1:13" x14ac:dyDescent="0.35">
      <c r="A75" s="2">
        <v>10420</v>
      </c>
      <c r="B75" s="2" t="s">
        <v>94</v>
      </c>
      <c r="C75" s="2" t="s">
        <v>95</v>
      </c>
      <c r="D75" s="2" t="s">
        <v>86</v>
      </c>
      <c r="E75" s="2" t="s">
        <v>15</v>
      </c>
      <c r="F75" s="2" t="s">
        <v>73</v>
      </c>
      <c r="G75" s="2">
        <v>3</v>
      </c>
      <c r="H75" s="9">
        <v>45000</v>
      </c>
      <c r="I75" s="9">
        <v>135000</v>
      </c>
      <c r="J75" s="20">
        <v>45675</v>
      </c>
      <c r="K75" s="7" t="s">
        <v>1005</v>
      </c>
      <c r="L75" s="2" t="s">
        <v>13</v>
      </c>
      <c r="M75" s="2" t="s">
        <v>31</v>
      </c>
    </row>
    <row r="76" spans="1:13" x14ac:dyDescent="0.35">
      <c r="A76" s="2">
        <v>10081</v>
      </c>
      <c r="B76" s="2" t="s">
        <v>510</v>
      </c>
      <c r="C76" s="2" t="s">
        <v>511</v>
      </c>
      <c r="D76" s="2" t="s">
        <v>86</v>
      </c>
      <c r="E76" s="2" t="s">
        <v>15</v>
      </c>
      <c r="F76" s="2" t="s">
        <v>55</v>
      </c>
      <c r="G76" s="2">
        <v>7</v>
      </c>
      <c r="H76" s="9">
        <v>35000</v>
      </c>
      <c r="I76" s="9">
        <v>245000</v>
      </c>
      <c r="J76" s="21">
        <v>46011</v>
      </c>
      <c r="K76" s="7" t="s">
        <v>1010</v>
      </c>
      <c r="L76" s="2" t="s">
        <v>40</v>
      </c>
      <c r="M76" s="2" t="s">
        <v>25</v>
      </c>
    </row>
    <row r="77" spans="1:13" x14ac:dyDescent="0.35">
      <c r="A77" s="2">
        <v>10017</v>
      </c>
      <c r="B77" s="2" t="s">
        <v>512</v>
      </c>
      <c r="C77" s="2" t="s">
        <v>513</v>
      </c>
      <c r="D77" s="2" t="s">
        <v>148</v>
      </c>
      <c r="E77" s="2" t="s">
        <v>34</v>
      </c>
      <c r="F77" s="2" t="s">
        <v>37</v>
      </c>
      <c r="G77" s="2">
        <v>7</v>
      </c>
      <c r="H77" s="9">
        <v>15000</v>
      </c>
      <c r="I77" s="9">
        <v>105000</v>
      </c>
      <c r="J77" s="21">
        <v>45692</v>
      </c>
      <c r="K77" s="7" t="s">
        <v>1011</v>
      </c>
      <c r="L77" s="2" t="s">
        <v>17</v>
      </c>
      <c r="M77" s="2" t="s">
        <v>20</v>
      </c>
    </row>
    <row r="78" spans="1:13" x14ac:dyDescent="0.35">
      <c r="A78" s="2">
        <v>10490</v>
      </c>
      <c r="B78" s="2" t="s">
        <v>514</v>
      </c>
      <c r="C78" s="2" t="s">
        <v>515</v>
      </c>
      <c r="D78" s="2" t="s">
        <v>117</v>
      </c>
      <c r="E78" s="2" t="s">
        <v>18</v>
      </c>
      <c r="F78" s="2" t="s">
        <v>52</v>
      </c>
      <c r="G78" s="2">
        <v>2</v>
      </c>
      <c r="H78" s="9">
        <v>45000</v>
      </c>
      <c r="I78" s="9">
        <v>90000</v>
      </c>
      <c r="J78" s="20">
        <v>45856</v>
      </c>
      <c r="K78" s="7" t="s">
        <v>1013</v>
      </c>
      <c r="L78" s="2" t="s">
        <v>40</v>
      </c>
      <c r="M78" s="2" t="s">
        <v>14</v>
      </c>
    </row>
    <row r="79" spans="1:13" x14ac:dyDescent="0.35">
      <c r="A79" s="2">
        <v>10052</v>
      </c>
      <c r="B79" s="2" t="s">
        <v>467</v>
      </c>
      <c r="C79" s="2" t="s">
        <v>96</v>
      </c>
      <c r="D79" s="2" t="s">
        <v>46</v>
      </c>
      <c r="E79" s="2" t="s">
        <v>11</v>
      </c>
      <c r="F79" s="2" t="s">
        <v>12</v>
      </c>
      <c r="G79" s="2">
        <v>4</v>
      </c>
      <c r="H79" s="9">
        <v>120000</v>
      </c>
      <c r="I79" s="9">
        <v>480000</v>
      </c>
      <c r="J79" s="21">
        <v>45670</v>
      </c>
      <c r="K79" s="7" t="s">
        <v>1005</v>
      </c>
      <c r="L79" s="2" t="s">
        <v>13</v>
      </c>
      <c r="M79" s="2" t="s">
        <v>27</v>
      </c>
    </row>
    <row r="80" spans="1:13" x14ac:dyDescent="0.35">
      <c r="A80" s="2">
        <v>10448</v>
      </c>
      <c r="B80" s="2" t="s">
        <v>97</v>
      </c>
      <c r="C80" s="2" t="s">
        <v>516</v>
      </c>
      <c r="D80" s="2" t="s">
        <v>148</v>
      </c>
      <c r="E80" s="2" t="s">
        <v>34</v>
      </c>
      <c r="F80" s="2" t="s">
        <v>35</v>
      </c>
      <c r="G80" s="2">
        <v>9</v>
      </c>
      <c r="H80" s="9">
        <v>120000</v>
      </c>
      <c r="I80" s="9">
        <v>1080000</v>
      </c>
      <c r="J80" s="21">
        <v>45936</v>
      </c>
      <c r="K80" s="7" t="s">
        <v>1014</v>
      </c>
      <c r="L80" s="2" t="s">
        <v>24</v>
      </c>
      <c r="M80" s="2" t="s">
        <v>14</v>
      </c>
    </row>
    <row r="81" spans="1:13" x14ac:dyDescent="0.35">
      <c r="A81" s="2">
        <v>10178</v>
      </c>
      <c r="B81" s="2" t="s">
        <v>517</v>
      </c>
      <c r="C81" s="2" t="s">
        <v>518</v>
      </c>
      <c r="D81" s="2" t="s">
        <v>148</v>
      </c>
      <c r="E81" s="2" t="s">
        <v>11</v>
      </c>
      <c r="F81" s="2" t="s">
        <v>71</v>
      </c>
      <c r="G81" s="2">
        <v>10</v>
      </c>
      <c r="H81" s="9">
        <v>120000</v>
      </c>
      <c r="I81" s="9">
        <v>1200000</v>
      </c>
      <c r="J81" s="21">
        <v>45731</v>
      </c>
      <c r="K81" s="7" t="s">
        <v>1016</v>
      </c>
      <c r="L81" s="2" t="s">
        <v>17</v>
      </c>
      <c r="M81" s="2" t="s">
        <v>31</v>
      </c>
    </row>
    <row r="82" spans="1:13" x14ac:dyDescent="0.35">
      <c r="A82" s="2">
        <v>10101</v>
      </c>
      <c r="B82" s="2" t="s">
        <v>519</v>
      </c>
      <c r="C82" s="2" t="s">
        <v>98</v>
      </c>
      <c r="D82" s="2" t="s">
        <v>63</v>
      </c>
      <c r="E82" s="2" t="s">
        <v>29</v>
      </c>
      <c r="F82" s="2" t="s">
        <v>30</v>
      </c>
      <c r="G82" s="2">
        <v>2</v>
      </c>
      <c r="H82" s="9">
        <v>35000</v>
      </c>
      <c r="I82" s="9">
        <v>70000</v>
      </c>
      <c r="J82" s="21">
        <v>45729</v>
      </c>
      <c r="K82" s="7" t="s">
        <v>1016</v>
      </c>
      <c r="L82" s="2" t="s">
        <v>40</v>
      </c>
      <c r="M82" s="2" t="s">
        <v>25</v>
      </c>
    </row>
    <row r="83" spans="1:13" x14ac:dyDescent="0.35">
      <c r="A83" s="2">
        <v>10276</v>
      </c>
      <c r="B83" s="2" t="s">
        <v>90</v>
      </c>
      <c r="C83" s="2" t="s">
        <v>520</v>
      </c>
      <c r="D83" s="2" t="s">
        <v>86</v>
      </c>
      <c r="E83" s="2" t="s">
        <v>29</v>
      </c>
      <c r="F83" s="2" t="s">
        <v>30</v>
      </c>
      <c r="G83" s="2">
        <v>4</v>
      </c>
      <c r="H83" s="9">
        <v>75000</v>
      </c>
      <c r="I83" s="9">
        <v>300000</v>
      </c>
      <c r="J83" s="21">
        <v>45889</v>
      </c>
      <c r="K83" s="7" t="s">
        <v>1008</v>
      </c>
      <c r="L83" s="2" t="s">
        <v>17</v>
      </c>
      <c r="M83" s="2" t="s">
        <v>31</v>
      </c>
    </row>
    <row r="84" spans="1:13" x14ac:dyDescent="0.35">
      <c r="A84" s="2">
        <v>10423</v>
      </c>
      <c r="B84" s="2" t="s">
        <v>99</v>
      </c>
      <c r="C84" s="2" t="s">
        <v>100</v>
      </c>
      <c r="D84" s="2" t="s">
        <v>23</v>
      </c>
      <c r="E84" s="2" t="s">
        <v>11</v>
      </c>
      <c r="F84" s="2" t="s">
        <v>39</v>
      </c>
      <c r="G84" s="2">
        <v>8</v>
      </c>
      <c r="H84" s="9">
        <v>25000</v>
      </c>
      <c r="I84" s="9">
        <v>200000</v>
      </c>
      <c r="J84" s="21">
        <v>46022</v>
      </c>
      <c r="K84" s="7" t="s">
        <v>1010</v>
      </c>
      <c r="L84" s="2" t="s">
        <v>13</v>
      </c>
      <c r="M84" s="2" t="s">
        <v>27</v>
      </c>
    </row>
    <row r="85" spans="1:13" x14ac:dyDescent="0.35">
      <c r="A85" s="2">
        <v>10385</v>
      </c>
      <c r="B85" s="2" t="s">
        <v>521</v>
      </c>
      <c r="C85" s="2" t="s">
        <v>522</v>
      </c>
      <c r="D85" s="2" t="s">
        <v>63</v>
      </c>
      <c r="E85" s="2" t="s">
        <v>15</v>
      </c>
      <c r="F85" s="2" t="s">
        <v>55</v>
      </c>
      <c r="G85" s="2">
        <v>1</v>
      </c>
      <c r="H85" s="9">
        <v>25000</v>
      </c>
      <c r="I85" s="9">
        <v>25000</v>
      </c>
      <c r="J85" s="21">
        <v>45995</v>
      </c>
      <c r="K85" s="7" t="s">
        <v>1010</v>
      </c>
      <c r="L85" s="2" t="s">
        <v>13</v>
      </c>
      <c r="M85" s="2" t="s">
        <v>31</v>
      </c>
    </row>
    <row r="86" spans="1:13" x14ac:dyDescent="0.35">
      <c r="A86" s="2">
        <v>10419</v>
      </c>
      <c r="B86" s="2" t="s">
        <v>523</v>
      </c>
      <c r="C86" s="2" t="s">
        <v>101</v>
      </c>
      <c r="D86" s="2" t="s">
        <v>82</v>
      </c>
      <c r="E86" s="2" t="s">
        <v>15</v>
      </c>
      <c r="F86" s="2" t="s">
        <v>16</v>
      </c>
      <c r="G86" s="2">
        <v>2</v>
      </c>
      <c r="H86" s="9">
        <v>150000</v>
      </c>
      <c r="I86" s="9">
        <v>300000</v>
      </c>
      <c r="J86" s="20">
        <v>45994</v>
      </c>
      <c r="K86" s="7" t="s">
        <v>1010</v>
      </c>
      <c r="L86" s="2" t="s">
        <v>36</v>
      </c>
      <c r="M86" s="2" t="s">
        <v>20</v>
      </c>
    </row>
    <row r="87" spans="1:13" x14ac:dyDescent="0.35">
      <c r="A87" s="2">
        <v>10436</v>
      </c>
      <c r="B87" s="2" t="s">
        <v>122</v>
      </c>
      <c r="C87" s="2" t="s">
        <v>436</v>
      </c>
      <c r="D87" s="2" t="s">
        <v>46</v>
      </c>
      <c r="E87" s="2" t="s">
        <v>11</v>
      </c>
      <c r="F87" s="2" t="s">
        <v>61</v>
      </c>
      <c r="G87" s="2">
        <v>2</v>
      </c>
      <c r="H87" s="9">
        <v>15000</v>
      </c>
      <c r="I87" s="9">
        <v>30000</v>
      </c>
      <c r="J87" s="21">
        <v>45891</v>
      </c>
      <c r="K87" s="7" t="s">
        <v>1008</v>
      </c>
      <c r="L87" s="2" t="s">
        <v>40</v>
      </c>
      <c r="M87" s="2" t="s">
        <v>31</v>
      </c>
    </row>
    <row r="88" spans="1:13" x14ac:dyDescent="0.35">
      <c r="A88" s="2">
        <v>10472</v>
      </c>
      <c r="B88" s="2" t="s">
        <v>242</v>
      </c>
      <c r="C88" s="2" t="s">
        <v>524</v>
      </c>
      <c r="D88" s="2" t="s">
        <v>82</v>
      </c>
      <c r="E88" s="2" t="s">
        <v>15</v>
      </c>
      <c r="F88" s="2" t="s">
        <v>73</v>
      </c>
      <c r="G88" s="2">
        <v>3</v>
      </c>
      <c r="H88" s="9">
        <v>120000</v>
      </c>
      <c r="I88" s="9">
        <v>360000</v>
      </c>
      <c r="J88" s="20">
        <v>45705</v>
      </c>
      <c r="K88" s="7" t="s">
        <v>1011</v>
      </c>
      <c r="L88" s="2" t="s">
        <v>40</v>
      </c>
      <c r="M88" s="2" t="s">
        <v>31</v>
      </c>
    </row>
    <row r="89" spans="1:13" x14ac:dyDescent="0.35">
      <c r="A89" s="2">
        <v>10461</v>
      </c>
      <c r="B89" s="2" t="s">
        <v>102</v>
      </c>
      <c r="C89" s="2" t="s">
        <v>525</v>
      </c>
      <c r="D89" s="2" t="s">
        <v>148</v>
      </c>
      <c r="E89" s="2" t="s">
        <v>34</v>
      </c>
      <c r="F89" s="2" t="s">
        <v>47</v>
      </c>
      <c r="G89" s="2">
        <v>5</v>
      </c>
      <c r="H89" s="9">
        <v>25000</v>
      </c>
      <c r="I89" s="9">
        <v>125000</v>
      </c>
      <c r="J89" s="21">
        <v>45873</v>
      </c>
      <c r="K89" s="7" t="s">
        <v>1008</v>
      </c>
      <c r="L89" s="2" t="s">
        <v>40</v>
      </c>
      <c r="M89" s="2" t="s">
        <v>27</v>
      </c>
    </row>
    <row r="90" spans="1:13" x14ac:dyDescent="0.35">
      <c r="A90" s="2">
        <v>10042</v>
      </c>
      <c r="B90" s="2" t="s">
        <v>526</v>
      </c>
      <c r="C90" s="2" t="s">
        <v>436</v>
      </c>
      <c r="D90" s="2" t="s">
        <v>66</v>
      </c>
      <c r="E90" s="2" t="s">
        <v>11</v>
      </c>
      <c r="F90" s="2" t="s">
        <v>39</v>
      </c>
      <c r="G90" s="2">
        <v>3</v>
      </c>
      <c r="H90" s="9">
        <v>50000</v>
      </c>
      <c r="I90" s="9">
        <v>150000</v>
      </c>
      <c r="J90" s="21">
        <v>45882</v>
      </c>
      <c r="K90" s="7" t="s">
        <v>1008</v>
      </c>
      <c r="L90" s="2" t="s">
        <v>40</v>
      </c>
      <c r="M90" s="2" t="s">
        <v>14</v>
      </c>
    </row>
    <row r="91" spans="1:13" x14ac:dyDescent="0.35">
      <c r="A91" s="2">
        <v>10365</v>
      </c>
      <c r="B91" s="2" t="s">
        <v>527</v>
      </c>
      <c r="C91" s="2" t="s">
        <v>528</v>
      </c>
      <c r="D91" s="2" t="s">
        <v>66</v>
      </c>
      <c r="E91" s="2" t="s">
        <v>15</v>
      </c>
      <c r="F91" s="2" t="s">
        <v>42</v>
      </c>
      <c r="G91" s="32">
        <v>3</v>
      </c>
      <c r="H91" s="9">
        <v>99000</v>
      </c>
      <c r="I91" s="9">
        <f>G91*H91</f>
        <v>297000</v>
      </c>
      <c r="J91" s="21">
        <v>45681</v>
      </c>
      <c r="K91" s="7" t="s">
        <v>1005</v>
      </c>
      <c r="L91" s="2" t="s">
        <v>24</v>
      </c>
      <c r="M91" s="2" t="s">
        <v>20</v>
      </c>
    </row>
    <row r="92" spans="1:13" x14ac:dyDescent="0.35">
      <c r="A92" s="2">
        <v>10206</v>
      </c>
      <c r="B92" s="2" t="s">
        <v>529</v>
      </c>
      <c r="C92" s="2" t="s">
        <v>530</v>
      </c>
      <c r="D92" s="2" t="s">
        <v>46</v>
      </c>
      <c r="E92" s="2" t="s">
        <v>11</v>
      </c>
      <c r="F92" s="2" t="s">
        <v>61</v>
      </c>
      <c r="G92" s="2">
        <v>3</v>
      </c>
      <c r="H92" s="9">
        <v>250000</v>
      </c>
      <c r="I92" s="9">
        <v>750000</v>
      </c>
      <c r="J92" s="21">
        <v>45993</v>
      </c>
      <c r="K92" s="7" t="s">
        <v>1010</v>
      </c>
      <c r="L92" s="2" t="s">
        <v>36</v>
      </c>
      <c r="M92" s="2" t="s">
        <v>14</v>
      </c>
    </row>
    <row r="93" spans="1:13" x14ac:dyDescent="0.35">
      <c r="A93" s="2">
        <v>10047</v>
      </c>
      <c r="B93" s="2" t="s">
        <v>58</v>
      </c>
      <c r="C93" s="2" t="s">
        <v>531</v>
      </c>
      <c r="D93" s="2" t="s">
        <v>33</v>
      </c>
      <c r="E93" s="2" t="s">
        <v>29</v>
      </c>
      <c r="F93" s="2" t="s">
        <v>30</v>
      </c>
      <c r="G93" s="2">
        <v>3</v>
      </c>
      <c r="H93" s="9">
        <v>50000</v>
      </c>
      <c r="I93" s="9">
        <v>150000</v>
      </c>
      <c r="J93" s="21">
        <v>45672</v>
      </c>
      <c r="K93" s="7" t="s">
        <v>1005</v>
      </c>
      <c r="L93" s="2" t="s">
        <v>24</v>
      </c>
      <c r="M93" s="2" t="s">
        <v>25</v>
      </c>
    </row>
    <row r="94" spans="1:13" x14ac:dyDescent="0.35">
      <c r="A94" s="2">
        <v>10347</v>
      </c>
      <c r="B94" s="2" t="s">
        <v>532</v>
      </c>
      <c r="C94" s="2" t="s">
        <v>533</v>
      </c>
      <c r="D94" s="2" t="s">
        <v>59</v>
      </c>
      <c r="E94" s="2" t="s">
        <v>29</v>
      </c>
      <c r="F94" s="2" t="s">
        <v>30</v>
      </c>
      <c r="G94" s="2">
        <v>3</v>
      </c>
      <c r="H94" s="9">
        <v>45000</v>
      </c>
      <c r="I94" s="9">
        <v>135000</v>
      </c>
      <c r="J94" s="21">
        <v>45715</v>
      </c>
      <c r="K94" s="7" t="s">
        <v>1011</v>
      </c>
      <c r="L94" s="2" t="s">
        <v>13</v>
      </c>
      <c r="M94" s="2" t="s">
        <v>27</v>
      </c>
    </row>
    <row r="95" spans="1:13" x14ac:dyDescent="0.35">
      <c r="A95" s="2">
        <v>10561</v>
      </c>
      <c r="B95" s="2" t="s">
        <v>534</v>
      </c>
      <c r="C95" s="2" t="s">
        <v>535</v>
      </c>
      <c r="D95" s="2" t="s">
        <v>63</v>
      </c>
      <c r="E95" s="2" t="s">
        <v>18</v>
      </c>
      <c r="F95" s="2" t="s">
        <v>26</v>
      </c>
      <c r="G95" s="2">
        <v>6</v>
      </c>
      <c r="H95" s="9">
        <v>25000</v>
      </c>
      <c r="I95" s="9">
        <v>150000</v>
      </c>
      <c r="J95" s="21">
        <v>45835</v>
      </c>
      <c r="K95" s="7" t="s">
        <v>1007</v>
      </c>
      <c r="L95" s="2" t="s">
        <v>17</v>
      </c>
      <c r="M95" s="2" t="s">
        <v>31</v>
      </c>
    </row>
    <row r="96" spans="1:13" x14ac:dyDescent="0.35">
      <c r="A96" s="2">
        <v>10460</v>
      </c>
      <c r="B96" s="2" t="s">
        <v>536</v>
      </c>
      <c r="C96" s="2" t="s">
        <v>537</v>
      </c>
      <c r="D96" s="2" t="s">
        <v>86</v>
      </c>
      <c r="E96" s="2" t="s">
        <v>15</v>
      </c>
      <c r="F96" s="2" t="s">
        <v>42</v>
      </c>
      <c r="G96" s="2">
        <v>9</v>
      </c>
      <c r="H96" s="9">
        <v>50000</v>
      </c>
      <c r="I96" s="9">
        <v>450000</v>
      </c>
      <c r="J96" s="20">
        <v>45713</v>
      </c>
      <c r="K96" s="7" t="s">
        <v>1011</v>
      </c>
      <c r="L96" s="2" t="s">
        <v>40</v>
      </c>
      <c r="M96" s="2" t="s">
        <v>20</v>
      </c>
    </row>
    <row r="97" spans="1:13" x14ac:dyDescent="0.35">
      <c r="A97" s="2">
        <v>10454</v>
      </c>
      <c r="B97" s="2" t="s">
        <v>323</v>
      </c>
      <c r="C97" s="2" t="s">
        <v>538</v>
      </c>
      <c r="D97" s="2" t="s">
        <v>46</v>
      </c>
      <c r="E97" s="2" t="s">
        <v>11</v>
      </c>
      <c r="F97" s="2" t="s">
        <v>12</v>
      </c>
      <c r="G97" s="2">
        <v>9</v>
      </c>
      <c r="H97" s="9">
        <v>35000</v>
      </c>
      <c r="I97" s="9">
        <v>315000</v>
      </c>
      <c r="J97" s="20">
        <v>45994</v>
      </c>
      <c r="K97" s="7" t="s">
        <v>1010</v>
      </c>
      <c r="L97" s="2" t="s">
        <v>36</v>
      </c>
      <c r="M97" s="2" t="s">
        <v>31</v>
      </c>
    </row>
    <row r="98" spans="1:13" x14ac:dyDescent="0.35">
      <c r="A98" s="2">
        <v>10301</v>
      </c>
      <c r="B98" s="2" t="s">
        <v>251</v>
      </c>
      <c r="C98" s="2" t="s">
        <v>539</v>
      </c>
      <c r="D98" s="2" t="s">
        <v>66</v>
      </c>
      <c r="E98" s="2" t="s">
        <v>29</v>
      </c>
      <c r="F98" s="2" t="s">
        <v>64</v>
      </c>
      <c r="G98" s="2">
        <v>9</v>
      </c>
      <c r="H98" s="9">
        <v>75000</v>
      </c>
      <c r="I98" s="9">
        <v>675000</v>
      </c>
      <c r="J98" s="21">
        <v>45963</v>
      </c>
      <c r="K98" s="7" t="s">
        <v>1009</v>
      </c>
      <c r="L98" s="2" t="s">
        <v>40</v>
      </c>
      <c r="M98" s="2" t="s">
        <v>25</v>
      </c>
    </row>
    <row r="99" spans="1:13" x14ac:dyDescent="0.35">
      <c r="A99" s="2">
        <v>10092</v>
      </c>
      <c r="B99" s="2" t="s">
        <v>540</v>
      </c>
      <c r="C99" s="2" t="s">
        <v>541</v>
      </c>
      <c r="D99" s="2" t="s">
        <v>63</v>
      </c>
      <c r="E99" s="2" t="s">
        <v>29</v>
      </c>
      <c r="F99" s="2" t="s">
        <v>30</v>
      </c>
      <c r="G99" s="2">
        <v>9</v>
      </c>
      <c r="H99" s="9">
        <v>120000</v>
      </c>
      <c r="I99" s="9">
        <v>1080000</v>
      </c>
      <c r="J99" s="21">
        <v>45939</v>
      </c>
      <c r="K99" s="7" t="s">
        <v>1014</v>
      </c>
      <c r="L99" s="2" t="s">
        <v>17</v>
      </c>
      <c r="M99" s="2" t="s">
        <v>27</v>
      </c>
    </row>
    <row r="100" spans="1:13" x14ac:dyDescent="0.35">
      <c r="A100" s="2">
        <v>10531</v>
      </c>
      <c r="B100" s="2" t="s">
        <v>542</v>
      </c>
      <c r="C100" s="2" t="s">
        <v>103</v>
      </c>
      <c r="D100" s="2" t="s">
        <v>46</v>
      </c>
      <c r="E100" s="2" t="s">
        <v>18</v>
      </c>
      <c r="F100" s="2" t="s">
        <v>57</v>
      </c>
      <c r="G100" s="2">
        <v>4</v>
      </c>
      <c r="H100" s="9">
        <v>45000</v>
      </c>
      <c r="I100" s="9">
        <v>180000</v>
      </c>
      <c r="J100" s="21">
        <v>45711</v>
      </c>
      <c r="K100" s="7" t="s">
        <v>1011</v>
      </c>
      <c r="L100" s="2" t="s">
        <v>40</v>
      </c>
      <c r="M100" s="2" t="s">
        <v>14</v>
      </c>
    </row>
    <row r="101" spans="1:13" x14ac:dyDescent="0.35">
      <c r="A101" s="2">
        <v>10221</v>
      </c>
      <c r="B101" s="2" t="s">
        <v>366</v>
      </c>
      <c r="C101" s="2" t="s">
        <v>436</v>
      </c>
      <c r="D101" s="2" t="s">
        <v>66</v>
      </c>
      <c r="E101" s="2" t="s">
        <v>15</v>
      </c>
      <c r="F101" s="2" t="s">
        <v>49</v>
      </c>
      <c r="G101" s="2">
        <v>10</v>
      </c>
      <c r="H101" s="9">
        <v>250000</v>
      </c>
      <c r="I101" s="9">
        <v>2500000</v>
      </c>
      <c r="J101" s="21">
        <v>45924</v>
      </c>
      <c r="K101" s="7" t="s">
        <v>1015</v>
      </c>
      <c r="L101" s="2" t="s">
        <v>17</v>
      </c>
      <c r="M101" s="2" t="s">
        <v>27</v>
      </c>
    </row>
    <row r="102" spans="1:13" x14ac:dyDescent="0.35">
      <c r="A102" s="2">
        <v>10338</v>
      </c>
      <c r="B102" s="2" t="s">
        <v>543</v>
      </c>
      <c r="C102" s="2" t="s">
        <v>104</v>
      </c>
      <c r="D102" s="2" t="s">
        <v>82</v>
      </c>
      <c r="E102" s="2" t="s">
        <v>15</v>
      </c>
      <c r="F102" s="2" t="s">
        <v>49</v>
      </c>
      <c r="G102" s="2">
        <v>8</v>
      </c>
      <c r="H102" s="9">
        <v>15000</v>
      </c>
      <c r="I102" s="9">
        <v>120000</v>
      </c>
      <c r="J102" s="20">
        <v>45674</v>
      </c>
      <c r="K102" s="7" t="s">
        <v>1005</v>
      </c>
      <c r="L102" s="2" t="s">
        <v>36</v>
      </c>
      <c r="M102" s="2" t="s">
        <v>27</v>
      </c>
    </row>
    <row r="103" spans="1:13" x14ac:dyDescent="0.35">
      <c r="A103" s="2">
        <v>10265</v>
      </c>
      <c r="B103" s="2" t="s">
        <v>105</v>
      </c>
      <c r="C103" s="2" t="s">
        <v>106</v>
      </c>
      <c r="D103" s="2" t="s">
        <v>23</v>
      </c>
      <c r="E103" s="2" t="s">
        <v>18</v>
      </c>
      <c r="F103" s="2" t="s">
        <v>52</v>
      </c>
      <c r="G103" s="2">
        <v>1</v>
      </c>
      <c r="H103" s="9">
        <v>150000</v>
      </c>
      <c r="I103" s="9">
        <v>150000</v>
      </c>
      <c r="J103" s="21">
        <v>45856</v>
      </c>
      <c r="K103" s="7" t="s">
        <v>1013</v>
      </c>
      <c r="L103" s="2" t="s">
        <v>13</v>
      </c>
      <c r="M103" s="2" t="s">
        <v>14</v>
      </c>
    </row>
    <row r="104" spans="1:13" x14ac:dyDescent="0.35">
      <c r="A104" s="2">
        <v>10083</v>
      </c>
      <c r="B104" s="2" t="s">
        <v>476</v>
      </c>
      <c r="C104" s="2" t="s">
        <v>544</v>
      </c>
      <c r="D104" s="2" t="s">
        <v>33</v>
      </c>
      <c r="E104" s="2" t="s">
        <v>34</v>
      </c>
      <c r="F104" s="2" t="s">
        <v>47</v>
      </c>
      <c r="G104" s="2">
        <v>9</v>
      </c>
      <c r="H104" s="9">
        <v>99000</v>
      </c>
      <c r="I104" s="9">
        <v>891000</v>
      </c>
      <c r="J104" s="21">
        <v>45945</v>
      </c>
      <c r="K104" s="7" t="s">
        <v>1014</v>
      </c>
      <c r="L104" s="2" t="s">
        <v>24</v>
      </c>
      <c r="M104" s="2" t="s">
        <v>25</v>
      </c>
    </row>
    <row r="105" spans="1:13" x14ac:dyDescent="0.35">
      <c r="A105" s="2">
        <v>10060</v>
      </c>
      <c r="B105" s="2" t="s">
        <v>545</v>
      </c>
      <c r="C105" s="2" t="s">
        <v>546</v>
      </c>
      <c r="D105" s="2" t="s">
        <v>33</v>
      </c>
      <c r="E105" s="2" t="s">
        <v>18</v>
      </c>
      <c r="F105" s="2" t="s">
        <v>70</v>
      </c>
      <c r="G105" s="2">
        <v>2</v>
      </c>
      <c r="H105" s="9">
        <v>50000</v>
      </c>
      <c r="I105" s="9">
        <v>100000</v>
      </c>
      <c r="J105" s="21">
        <v>45951</v>
      </c>
      <c r="K105" s="7" t="s">
        <v>1014</v>
      </c>
      <c r="L105" s="2" t="s">
        <v>36</v>
      </c>
      <c r="M105" s="2" t="s">
        <v>20</v>
      </c>
    </row>
    <row r="106" spans="1:13" x14ac:dyDescent="0.35">
      <c r="A106" s="2">
        <v>10066</v>
      </c>
      <c r="B106" s="2" t="s">
        <v>547</v>
      </c>
      <c r="C106" s="2" t="s">
        <v>548</v>
      </c>
      <c r="D106" s="2" t="s">
        <v>23</v>
      </c>
      <c r="E106" s="2" t="s">
        <v>18</v>
      </c>
      <c r="F106" s="2" t="s">
        <v>19</v>
      </c>
      <c r="G106" s="2">
        <v>2</v>
      </c>
      <c r="H106" s="9">
        <v>35000</v>
      </c>
      <c r="I106" s="9">
        <v>70000</v>
      </c>
      <c r="J106" s="20">
        <v>45979</v>
      </c>
      <c r="K106" s="7" t="s">
        <v>1009</v>
      </c>
      <c r="L106" s="2" t="s">
        <v>40</v>
      </c>
      <c r="M106" s="2" t="s">
        <v>20</v>
      </c>
    </row>
    <row r="107" spans="1:13" x14ac:dyDescent="0.35">
      <c r="A107" s="2">
        <v>10152</v>
      </c>
      <c r="B107" s="2" t="s">
        <v>549</v>
      </c>
      <c r="C107" s="2" t="s">
        <v>107</v>
      </c>
      <c r="D107" s="2" t="s">
        <v>59</v>
      </c>
      <c r="E107" s="2" t="s">
        <v>29</v>
      </c>
      <c r="F107" s="2" t="s">
        <v>67</v>
      </c>
      <c r="G107" s="2">
        <v>6</v>
      </c>
      <c r="H107" s="9">
        <v>99000</v>
      </c>
      <c r="I107" s="9">
        <v>594000</v>
      </c>
      <c r="J107" s="21">
        <v>45920</v>
      </c>
      <c r="K107" s="7" t="s">
        <v>1015</v>
      </c>
      <c r="L107" s="2" t="s">
        <v>24</v>
      </c>
      <c r="M107" s="2" t="s">
        <v>25</v>
      </c>
    </row>
    <row r="108" spans="1:13" x14ac:dyDescent="0.35">
      <c r="A108" s="2">
        <v>10278</v>
      </c>
      <c r="B108" s="2" t="s">
        <v>108</v>
      </c>
      <c r="C108" s="2" t="s">
        <v>550</v>
      </c>
      <c r="D108" s="2" t="s">
        <v>63</v>
      </c>
      <c r="E108" s="2" t="s">
        <v>11</v>
      </c>
      <c r="F108" s="2" t="s">
        <v>12</v>
      </c>
      <c r="G108" s="2">
        <v>10</v>
      </c>
      <c r="H108" s="9">
        <v>50000</v>
      </c>
      <c r="I108" s="9">
        <v>500000</v>
      </c>
      <c r="J108" s="21">
        <v>45985</v>
      </c>
      <c r="K108" s="7" t="s">
        <v>1009</v>
      </c>
      <c r="L108" s="2" t="s">
        <v>36</v>
      </c>
      <c r="M108" s="2" t="s">
        <v>25</v>
      </c>
    </row>
    <row r="109" spans="1:13" x14ac:dyDescent="0.35">
      <c r="A109" s="2">
        <v>10543</v>
      </c>
      <c r="B109" s="2" t="s">
        <v>109</v>
      </c>
      <c r="C109" s="2" t="s">
        <v>551</v>
      </c>
      <c r="D109" s="2" t="s">
        <v>23</v>
      </c>
      <c r="E109" s="2" t="s">
        <v>18</v>
      </c>
      <c r="F109" s="2" t="s">
        <v>52</v>
      </c>
      <c r="G109" s="2">
        <v>1</v>
      </c>
      <c r="H109" s="9">
        <v>150000</v>
      </c>
      <c r="I109" s="9">
        <v>150000</v>
      </c>
      <c r="J109" s="21">
        <v>45756</v>
      </c>
      <c r="K109" s="7" t="s">
        <v>1012</v>
      </c>
      <c r="L109" s="2" t="s">
        <v>24</v>
      </c>
      <c r="M109" s="2" t="s">
        <v>20</v>
      </c>
    </row>
    <row r="110" spans="1:13" x14ac:dyDescent="0.35">
      <c r="A110" s="2">
        <v>10468</v>
      </c>
      <c r="B110" s="2" t="s">
        <v>552</v>
      </c>
      <c r="C110" s="2" t="s">
        <v>553</v>
      </c>
      <c r="D110" s="2" t="s">
        <v>46</v>
      </c>
      <c r="E110" s="2" t="s">
        <v>34</v>
      </c>
      <c r="F110" s="2" t="s">
        <v>45</v>
      </c>
      <c r="G110" s="2">
        <v>1</v>
      </c>
      <c r="H110" s="9">
        <v>199000</v>
      </c>
      <c r="I110" s="9">
        <v>199000</v>
      </c>
      <c r="J110" s="21">
        <v>45689</v>
      </c>
      <c r="K110" s="7" t="s">
        <v>1011</v>
      </c>
      <c r="L110" s="2" t="s">
        <v>36</v>
      </c>
      <c r="M110" s="2" t="s">
        <v>20</v>
      </c>
    </row>
    <row r="111" spans="1:13" x14ac:dyDescent="0.35">
      <c r="A111" s="2">
        <v>10117</v>
      </c>
      <c r="B111" s="2" t="s">
        <v>554</v>
      </c>
      <c r="C111" s="2" t="s">
        <v>110</v>
      </c>
      <c r="D111" s="2" t="s">
        <v>59</v>
      </c>
      <c r="E111" s="2" t="s">
        <v>29</v>
      </c>
      <c r="F111" s="2" t="s">
        <v>41</v>
      </c>
      <c r="G111" s="2">
        <v>1</v>
      </c>
      <c r="H111" s="9">
        <v>45000</v>
      </c>
      <c r="I111" s="9">
        <v>45000</v>
      </c>
      <c r="J111" s="21">
        <v>45766</v>
      </c>
      <c r="K111" s="7" t="s">
        <v>1012</v>
      </c>
      <c r="L111" s="2" t="s">
        <v>13</v>
      </c>
      <c r="M111" s="2" t="s">
        <v>20</v>
      </c>
    </row>
    <row r="112" spans="1:13" x14ac:dyDescent="0.35">
      <c r="A112" s="2">
        <v>10109</v>
      </c>
      <c r="B112" s="2" t="s">
        <v>197</v>
      </c>
      <c r="C112" s="2" t="s">
        <v>555</v>
      </c>
      <c r="D112" s="2" t="s">
        <v>148</v>
      </c>
      <c r="E112" s="2" t="s">
        <v>15</v>
      </c>
      <c r="F112" s="2" t="s">
        <v>42</v>
      </c>
      <c r="G112" s="2">
        <v>4</v>
      </c>
      <c r="H112" s="9">
        <v>50000</v>
      </c>
      <c r="I112" s="9">
        <v>200000</v>
      </c>
      <c r="J112" s="21">
        <v>46020</v>
      </c>
      <c r="K112" s="7" t="s">
        <v>1010</v>
      </c>
      <c r="L112" s="2" t="s">
        <v>36</v>
      </c>
      <c r="M112" s="2" t="s">
        <v>20</v>
      </c>
    </row>
    <row r="113" spans="1:13" x14ac:dyDescent="0.35">
      <c r="A113" s="2">
        <v>10201</v>
      </c>
      <c r="B113" s="2" t="s">
        <v>556</v>
      </c>
      <c r="C113" s="2" t="s">
        <v>111</v>
      </c>
      <c r="D113" s="2" t="s">
        <v>23</v>
      </c>
      <c r="E113" s="2" t="s">
        <v>18</v>
      </c>
      <c r="F113" s="2" t="s">
        <v>57</v>
      </c>
      <c r="G113" s="2">
        <v>2</v>
      </c>
      <c r="H113" s="9">
        <v>35000</v>
      </c>
      <c r="I113" s="9">
        <v>70000</v>
      </c>
      <c r="J113" s="20">
        <v>45933</v>
      </c>
      <c r="K113" s="7" t="s">
        <v>1014</v>
      </c>
      <c r="L113" s="2" t="s">
        <v>13</v>
      </c>
      <c r="M113" s="2" t="s">
        <v>14</v>
      </c>
    </row>
    <row r="114" spans="1:13" x14ac:dyDescent="0.35">
      <c r="A114" s="2">
        <v>10496</v>
      </c>
      <c r="B114" s="2" t="s">
        <v>557</v>
      </c>
      <c r="C114" s="2" t="s">
        <v>112</v>
      </c>
      <c r="D114" s="2" t="s">
        <v>46</v>
      </c>
      <c r="E114" s="2" t="s">
        <v>11</v>
      </c>
      <c r="F114" s="2" t="s">
        <v>61</v>
      </c>
      <c r="G114" s="2">
        <v>1</v>
      </c>
      <c r="H114" s="9">
        <v>50000</v>
      </c>
      <c r="I114" s="9">
        <v>50000</v>
      </c>
      <c r="J114" s="21">
        <v>45815</v>
      </c>
      <c r="K114" s="7" t="s">
        <v>1007</v>
      </c>
      <c r="L114" s="2" t="s">
        <v>13</v>
      </c>
      <c r="M114" s="2" t="s">
        <v>14</v>
      </c>
    </row>
    <row r="115" spans="1:13" x14ac:dyDescent="0.35">
      <c r="A115" s="2">
        <v>10449</v>
      </c>
      <c r="B115" s="2" t="s">
        <v>558</v>
      </c>
      <c r="C115" s="2" t="s">
        <v>113</v>
      </c>
      <c r="D115" s="2" t="s">
        <v>66</v>
      </c>
      <c r="E115" s="2" t="s">
        <v>11</v>
      </c>
      <c r="F115" s="2" t="s">
        <v>12</v>
      </c>
      <c r="G115" s="2">
        <v>9</v>
      </c>
      <c r="H115" s="9">
        <v>50000</v>
      </c>
      <c r="I115" s="9">
        <v>450000</v>
      </c>
      <c r="J115" s="21">
        <v>45995</v>
      </c>
      <c r="K115" s="7" t="s">
        <v>1010</v>
      </c>
      <c r="L115" s="2" t="s">
        <v>13</v>
      </c>
      <c r="M115" s="2" t="s">
        <v>20</v>
      </c>
    </row>
    <row r="116" spans="1:13" x14ac:dyDescent="0.35">
      <c r="A116" s="2">
        <v>10445</v>
      </c>
      <c r="B116" s="2" t="s">
        <v>559</v>
      </c>
      <c r="C116" s="2" t="s">
        <v>114</v>
      </c>
      <c r="D116" s="2" t="s">
        <v>66</v>
      </c>
      <c r="E116" s="2" t="s">
        <v>11</v>
      </c>
      <c r="F116" s="2" t="s">
        <v>71</v>
      </c>
      <c r="G116" s="2">
        <v>3</v>
      </c>
      <c r="H116" s="9">
        <v>15000</v>
      </c>
      <c r="I116" s="9">
        <v>45000</v>
      </c>
      <c r="J116" s="21">
        <v>45718</v>
      </c>
      <c r="K116" s="7" t="s">
        <v>1016</v>
      </c>
      <c r="L116" s="2" t="s">
        <v>13</v>
      </c>
      <c r="M116" s="2" t="s">
        <v>25</v>
      </c>
    </row>
    <row r="117" spans="1:13" x14ac:dyDescent="0.35">
      <c r="A117" s="2">
        <v>10233</v>
      </c>
      <c r="B117" s="2" t="s">
        <v>115</v>
      </c>
      <c r="C117" s="2" t="s">
        <v>560</v>
      </c>
      <c r="D117" s="2" t="s">
        <v>33</v>
      </c>
      <c r="E117" s="2" t="s">
        <v>11</v>
      </c>
      <c r="F117" s="2" t="s">
        <v>50</v>
      </c>
      <c r="G117" s="2">
        <v>6</v>
      </c>
      <c r="H117" s="9">
        <v>75000</v>
      </c>
      <c r="I117" s="9">
        <v>450000</v>
      </c>
      <c r="J117" s="21">
        <v>45669</v>
      </c>
      <c r="K117" s="7" t="s">
        <v>1005</v>
      </c>
      <c r="L117" s="2" t="s">
        <v>17</v>
      </c>
      <c r="M117" s="2" t="s">
        <v>25</v>
      </c>
    </row>
    <row r="118" spans="1:13" x14ac:dyDescent="0.35">
      <c r="A118" s="2">
        <v>10551</v>
      </c>
      <c r="B118" s="2" t="s">
        <v>151</v>
      </c>
      <c r="C118" s="2" t="s">
        <v>561</v>
      </c>
      <c r="D118" s="2" t="s">
        <v>66</v>
      </c>
      <c r="E118" s="2" t="s">
        <v>29</v>
      </c>
      <c r="F118" s="2" t="s">
        <v>64</v>
      </c>
      <c r="G118" s="2">
        <v>10</v>
      </c>
      <c r="H118" s="9">
        <v>150000</v>
      </c>
      <c r="I118" s="9">
        <v>1500000</v>
      </c>
      <c r="J118" s="21">
        <v>45936</v>
      </c>
      <c r="K118" s="7" t="s">
        <v>1014</v>
      </c>
      <c r="L118" s="2" t="s">
        <v>24</v>
      </c>
      <c r="M118" s="2" t="s">
        <v>20</v>
      </c>
    </row>
    <row r="119" spans="1:13" x14ac:dyDescent="0.35">
      <c r="A119" s="2">
        <v>10507</v>
      </c>
      <c r="B119" s="2" t="s">
        <v>116</v>
      </c>
      <c r="C119" s="2" t="s">
        <v>562</v>
      </c>
      <c r="D119" s="2" t="s">
        <v>63</v>
      </c>
      <c r="E119" s="2" t="s">
        <v>18</v>
      </c>
      <c r="F119" s="2" t="s">
        <v>52</v>
      </c>
      <c r="G119" s="2">
        <v>5</v>
      </c>
      <c r="H119" s="9">
        <v>199000</v>
      </c>
      <c r="I119" s="9">
        <v>995000</v>
      </c>
      <c r="J119" s="21">
        <v>45988</v>
      </c>
      <c r="K119" s="7" t="s">
        <v>1009</v>
      </c>
      <c r="L119" s="2" t="s">
        <v>13</v>
      </c>
      <c r="M119" s="2" t="s">
        <v>25</v>
      </c>
    </row>
    <row r="120" spans="1:13" x14ac:dyDescent="0.35">
      <c r="A120" s="2">
        <v>10595</v>
      </c>
      <c r="B120" s="2" t="s">
        <v>563</v>
      </c>
      <c r="C120" s="2" t="s">
        <v>564</v>
      </c>
      <c r="D120" s="2" t="s">
        <v>82</v>
      </c>
      <c r="E120" s="2" t="s">
        <v>34</v>
      </c>
      <c r="F120" s="2" t="s">
        <v>47</v>
      </c>
      <c r="G120" s="2">
        <v>1</v>
      </c>
      <c r="H120" s="9">
        <v>250000</v>
      </c>
      <c r="I120" s="9">
        <v>250000</v>
      </c>
      <c r="J120" s="21">
        <v>45733</v>
      </c>
      <c r="K120" s="7" t="s">
        <v>1016</v>
      </c>
      <c r="L120" s="2" t="s">
        <v>36</v>
      </c>
      <c r="M120" s="2" t="s">
        <v>31</v>
      </c>
    </row>
    <row r="121" spans="1:13" x14ac:dyDescent="0.35">
      <c r="A121" s="2">
        <v>10572</v>
      </c>
      <c r="B121" s="2" t="s">
        <v>254</v>
      </c>
      <c r="C121" s="2" t="s">
        <v>565</v>
      </c>
      <c r="D121" s="2" t="s">
        <v>117</v>
      </c>
      <c r="E121" s="2" t="s">
        <v>29</v>
      </c>
      <c r="F121" s="2" t="s">
        <v>41</v>
      </c>
      <c r="G121" s="2">
        <v>10</v>
      </c>
      <c r="H121" s="9">
        <v>35000</v>
      </c>
      <c r="I121" s="9">
        <v>350000</v>
      </c>
      <c r="J121" s="21">
        <v>45706</v>
      </c>
      <c r="K121" s="7" t="s">
        <v>1011</v>
      </c>
      <c r="L121" s="2" t="s">
        <v>13</v>
      </c>
      <c r="M121" s="2" t="s">
        <v>20</v>
      </c>
    </row>
    <row r="122" spans="1:13" x14ac:dyDescent="0.35">
      <c r="A122" s="2">
        <v>10073</v>
      </c>
      <c r="B122" s="2" t="s">
        <v>105</v>
      </c>
      <c r="C122" s="2" t="s">
        <v>436</v>
      </c>
      <c r="D122" s="2" t="s">
        <v>117</v>
      </c>
      <c r="E122" s="2" t="s">
        <v>18</v>
      </c>
      <c r="F122" s="2" t="s">
        <v>52</v>
      </c>
      <c r="G122" s="2">
        <v>3</v>
      </c>
      <c r="H122" s="9">
        <v>45000</v>
      </c>
      <c r="I122" s="9">
        <v>135000</v>
      </c>
      <c r="J122" s="21">
        <v>45967</v>
      </c>
      <c r="K122" s="7" t="s">
        <v>1009</v>
      </c>
      <c r="L122" s="2" t="s">
        <v>36</v>
      </c>
      <c r="M122" s="2" t="s">
        <v>25</v>
      </c>
    </row>
    <row r="123" spans="1:13" x14ac:dyDescent="0.35">
      <c r="A123" s="2">
        <v>10463</v>
      </c>
      <c r="B123" s="2" t="s">
        <v>566</v>
      </c>
      <c r="C123" s="2" t="s">
        <v>567</v>
      </c>
      <c r="D123" s="2" t="s">
        <v>23</v>
      </c>
      <c r="E123" s="2" t="s">
        <v>29</v>
      </c>
      <c r="F123" s="2" t="s">
        <v>41</v>
      </c>
      <c r="G123" s="2">
        <v>10</v>
      </c>
      <c r="H123" s="9">
        <v>35000</v>
      </c>
      <c r="I123" s="9">
        <v>350000</v>
      </c>
      <c r="J123" s="21">
        <v>45842</v>
      </c>
      <c r="K123" s="7" t="s">
        <v>1013</v>
      </c>
      <c r="L123" s="2" t="s">
        <v>13</v>
      </c>
      <c r="M123" s="2" t="s">
        <v>31</v>
      </c>
    </row>
    <row r="124" spans="1:13" x14ac:dyDescent="0.35">
      <c r="A124" s="2">
        <v>10218</v>
      </c>
      <c r="B124" s="2" t="s">
        <v>568</v>
      </c>
      <c r="C124" s="2" t="s">
        <v>569</v>
      </c>
      <c r="D124" s="2" t="s">
        <v>66</v>
      </c>
      <c r="E124" s="2" t="s">
        <v>34</v>
      </c>
      <c r="F124" s="2" t="s">
        <v>45</v>
      </c>
      <c r="G124" s="2">
        <v>7</v>
      </c>
      <c r="H124" s="9">
        <v>75000</v>
      </c>
      <c r="I124" s="9">
        <v>525000</v>
      </c>
      <c r="J124" s="20">
        <v>45712</v>
      </c>
      <c r="K124" s="7" t="s">
        <v>1011</v>
      </c>
      <c r="L124" s="2" t="s">
        <v>36</v>
      </c>
      <c r="M124" s="2" t="s">
        <v>20</v>
      </c>
    </row>
    <row r="125" spans="1:13" x14ac:dyDescent="0.35">
      <c r="A125" s="2">
        <v>10482</v>
      </c>
      <c r="B125" s="2" t="s">
        <v>361</v>
      </c>
      <c r="C125" s="2" t="s">
        <v>118</v>
      </c>
      <c r="D125" s="2" t="s">
        <v>148</v>
      </c>
      <c r="E125" s="2" t="s">
        <v>34</v>
      </c>
      <c r="F125" s="2" t="s">
        <v>35</v>
      </c>
      <c r="G125" s="2">
        <v>7</v>
      </c>
      <c r="H125" s="9">
        <v>99000</v>
      </c>
      <c r="I125" s="9">
        <v>693000</v>
      </c>
      <c r="J125" s="20">
        <v>46006</v>
      </c>
      <c r="K125" s="7" t="s">
        <v>1010</v>
      </c>
      <c r="L125" s="2" t="s">
        <v>40</v>
      </c>
      <c r="M125" s="2" t="s">
        <v>27</v>
      </c>
    </row>
    <row r="126" spans="1:13" x14ac:dyDescent="0.35">
      <c r="A126" s="2">
        <v>10038</v>
      </c>
      <c r="B126" s="2" t="s">
        <v>570</v>
      </c>
      <c r="C126" s="2" t="s">
        <v>119</v>
      </c>
      <c r="D126" s="2" t="s">
        <v>66</v>
      </c>
      <c r="E126" s="2" t="s">
        <v>11</v>
      </c>
      <c r="F126" s="2" t="s">
        <v>61</v>
      </c>
      <c r="G126" s="2">
        <v>8</v>
      </c>
      <c r="H126" s="9">
        <v>25000</v>
      </c>
      <c r="I126" s="9">
        <v>200000</v>
      </c>
      <c r="J126" s="21">
        <v>46009</v>
      </c>
      <c r="K126" s="7" t="s">
        <v>1010</v>
      </c>
      <c r="L126" s="2" t="s">
        <v>36</v>
      </c>
      <c r="M126" s="2" t="s">
        <v>25</v>
      </c>
    </row>
    <row r="127" spans="1:13" x14ac:dyDescent="0.35">
      <c r="A127" s="2">
        <v>10139</v>
      </c>
      <c r="B127" s="2" t="s">
        <v>120</v>
      </c>
      <c r="C127" s="2" t="s">
        <v>121</v>
      </c>
      <c r="D127" s="2" t="s">
        <v>66</v>
      </c>
      <c r="E127" s="2" t="s">
        <v>11</v>
      </c>
      <c r="F127" s="2" t="s">
        <v>12</v>
      </c>
      <c r="G127" s="2">
        <v>7</v>
      </c>
      <c r="H127" s="9">
        <v>35000</v>
      </c>
      <c r="I127" s="9">
        <v>245000</v>
      </c>
      <c r="J127" s="21">
        <v>45902</v>
      </c>
      <c r="K127" s="7" t="s">
        <v>1015</v>
      </c>
      <c r="L127" s="2" t="s">
        <v>24</v>
      </c>
      <c r="M127" s="2" t="s">
        <v>31</v>
      </c>
    </row>
    <row r="128" spans="1:13" x14ac:dyDescent="0.35">
      <c r="A128" s="2">
        <v>10026</v>
      </c>
      <c r="B128" s="2" t="s">
        <v>571</v>
      </c>
      <c r="C128" s="2" t="s">
        <v>572</v>
      </c>
      <c r="D128" s="2" t="s">
        <v>63</v>
      </c>
      <c r="E128" s="2" t="s">
        <v>18</v>
      </c>
      <c r="F128" s="2" t="s">
        <v>26</v>
      </c>
      <c r="G128" s="2">
        <v>4</v>
      </c>
      <c r="H128" s="9">
        <v>120000</v>
      </c>
      <c r="I128" s="9">
        <v>480000</v>
      </c>
      <c r="J128" s="21">
        <v>45770</v>
      </c>
      <c r="K128" s="7" t="s">
        <v>1012</v>
      </c>
      <c r="L128" s="2" t="s">
        <v>17</v>
      </c>
      <c r="M128" s="2" t="s">
        <v>20</v>
      </c>
    </row>
    <row r="129" spans="1:23" x14ac:dyDescent="0.35">
      <c r="A129" s="2">
        <v>10289</v>
      </c>
      <c r="B129" s="2" t="s">
        <v>500</v>
      </c>
      <c r="C129" s="2" t="s">
        <v>573</v>
      </c>
      <c r="D129" s="2" t="s">
        <v>63</v>
      </c>
      <c r="E129" s="2" t="s">
        <v>18</v>
      </c>
      <c r="F129" s="2" t="s">
        <v>26</v>
      </c>
      <c r="G129" s="2">
        <v>2</v>
      </c>
      <c r="H129" s="9">
        <v>45000</v>
      </c>
      <c r="I129" s="9">
        <v>90000</v>
      </c>
      <c r="J129" s="21">
        <v>45899</v>
      </c>
      <c r="K129" s="7" t="s">
        <v>1008</v>
      </c>
      <c r="L129" s="2" t="s">
        <v>24</v>
      </c>
      <c r="M129" s="2" t="s">
        <v>27</v>
      </c>
    </row>
    <row r="130" spans="1:23" x14ac:dyDescent="0.35">
      <c r="A130" s="2">
        <v>10271</v>
      </c>
      <c r="B130" s="2" t="s">
        <v>122</v>
      </c>
      <c r="C130" s="2" t="s">
        <v>574</v>
      </c>
      <c r="D130" s="2" t="s">
        <v>117</v>
      </c>
      <c r="E130" s="2" t="s">
        <v>29</v>
      </c>
      <c r="F130" s="2" t="s">
        <v>64</v>
      </c>
      <c r="G130" s="2">
        <v>8</v>
      </c>
      <c r="H130" s="9">
        <v>35000</v>
      </c>
      <c r="I130" s="9">
        <v>280000</v>
      </c>
      <c r="J130" s="21">
        <v>45720</v>
      </c>
      <c r="K130" s="7" t="s">
        <v>1016</v>
      </c>
      <c r="L130" s="2" t="s">
        <v>17</v>
      </c>
      <c r="M130" s="2" t="s">
        <v>25</v>
      </c>
    </row>
    <row r="131" spans="1:23" x14ac:dyDescent="0.35">
      <c r="A131" s="2">
        <v>10303</v>
      </c>
      <c r="B131" s="2" t="s">
        <v>575</v>
      </c>
      <c r="C131" s="2" t="s">
        <v>576</v>
      </c>
      <c r="D131" s="2" t="s">
        <v>82</v>
      </c>
      <c r="E131" s="2" t="s">
        <v>18</v>
      </c>
      <c r="F131" s="2" t="s">
        <v>19</v>
      </c>
      <c r="G131" s="2">
        <v>10</v>
      </c>
      <c r="H131" s="9">
        <v>45000</v>
      </c>
      <c r="I131" s="9">
        <v>450000</v>
      </c>
      <c r="J131" s="21">
        <v>45810</v>
      </c>
      <c r="K131" s="7" t="s">
        <v>1007</v>
      </c>
      <c r="L131" s="2" t="s">
        <v>24</v>
      </c>
      <c r="M131" s="2" t="s">
        <v>31</v>
      </c>
    </row>
    <row r="132" spans="1:23" x14ac:dyDescent="0.35">
      <c r="A132" s="2">
        <v>10180</v>
      </c>
      <c r="B132" s="2" t="s">
        <v>123</v>
      </c>
      <c r="C132" s="2" t="s">
        <v>577</v>
      </c>
      <c r="D132" s="2" t="s">
        <v>59</v>
      </c>
      <c r="E132" s="2" t="s">
        <v>34</v>
      </c>
      <c r="F132" s="2" t="s">
        <v>35</v>
      </c>
      <c r="G132" s="2">
        <v>1</v>
      </c>
      <c r="H132" s="9">
        <v>250000</v>
      </c>
      <c r="I132" s="9">
        <v>250000</v>
      </c>
      <c r="J132" s="20">
        <v>45785</v>
      </c>
      <c r="K132" s="7" t="s">
        <v>1006</v>
      </c>
      <c r="L132" s="2" t="s">
        <v>36</v>
      </c>
      <c r="M132" s="2" t="s">
        <v>25</v>
      </c>
    </row>
    <row r="133" spans="1:23" x14ac:dyDescent="0.35">
      <c r="A133" s="2">
        <v>10457</v>
      </c>
      <c r="B133" s="2" t="s">
        <v>94</v>
      </c>
      <c r="C133" s="2" t="s">
        <v>578</v>
      </c>
      <c r="D133" s="2" t="s">
        <v>148</v>
      </c>
      <c r="E133" s="2" t="s">
        <v>11</v>
      </c>
      <c r="F133" s="2" t="s">
        <v>12</v>
      </c>
      <c r="G133" s="32">
        <v>7</v>
      </c>
      <c r="H133" s="9">
        <v>120000</v>
      </c>
      <c r="I133" s="9">
        <f>G133*H133</f>
        <v>840000</v>
      </c>
      <c r="J133" s="21">
        <v>45852</v>
      </c>
      <c r="K133" s="7" t="s">
        <v>1013</v>
      </c>
      <c r="L133" s="2" t="s">
        <v>36</v>
      </c>
      <c r="M133" s="2" t="s">
        <v>25</v>
      </c>
    </row>
    <row r="134" spans="1:23" x14ac:dyDescent="0.35">
      <c r="A134" s="2">
        <v>10054</v>
      </c>
      <c r="B134" s="2" t="s">
        <v>498</v>
      </c>
      <c r="C134" s="2" t="s">
        <v>124</v>
      </c>
      <c r="D134" s="2" t="s">
        <v>33</v>
      </c>
      <c r="E134" s="2" t="s">
        <v>11</v>
      </c>
      <c r="F134" s="2" t="s">
        <v>39</v>
      </c>
      <c r="G134" s="2">
        <v>6</v>
      </c>
      <c r="H134" s="9">
        <v>15000</v>
      </c>
      <c r="I134" s="9">
        <v>90000</v>
      </c>
      <c r="J134" s="21">
        <v>45861</v>
      </c>
      <c r="K134" s="7" t="s">
        <v>1013</v>
      </c>
      <c r="L134" s="2" t="s">
        <v>17</v>
      </c>
      <c r="M134" s="2" t="s">
        <v>31</v>
      </c>
    </row>
    <row r="135" spans="1:23" x14ac:dyDescent="0.35">
      <c r="A135" s="2">
        <v>10059</v>
      </c>
      <c r="B135" s="2" t="s">
        <v>579</v>
      </c>
      <c r="C135" s="2" t="s">
        <v>580</v>
      </c>
      <c r="D135" s="2" t="s">
        <v>148</v>
      </c>
      <c r="E135" s="2" t="s">
        <v>29</v>
      </c>
      <c r="F135" s="2" t="s">
        <v>41</v>
      </c>
      <c r="G135" s="2">
        <v>9</v>
      </c>
      <c r="H135" s="9">
        <v>150000</v>
      </c>
      <c r="I135" s="9">
        <v>1350000</v>
      </c>
      <c r="J135" s="21">
        <v>45826</v>
      </c>
      <c r="K135" s="7" t="s">
        <v>1007</v>
      </c>
      <c r="L135" s="2" t="s">
        <v>24</v>
      </c>
      <c r="M135" s="2" t="s">
        <v>20</v>
      </c>
    </row>
    <row r="136" spans="1:23" x14ac:dyDescent="0.35">
      <c r="A136" s="2">
        <v>10027</v>
      </c>
      <c r="B136" s="2" t="s">
        <v>125</v>
      </c>
      <c r="C136" s="2" t="s">
        <v>126</v>
      </c>
      <c r="D136" s="2" t="s">
        <v>117</v>
      </c>
      <c r="E136" s="2" t="s">
        <v>15</v>
      </c>
      <c r="F136" s="2" t="s">
        <v>42</v>
      </c>
      <c r="G136" s="2">
        <v>1</v>
      </c>
      <c r="H136" s="9">
        <v>50000</v>
      </c>
      <c r="I136" s="9">
        <v>50000</v>
      </c>
      <c r="J136" s="21">
        <v>45852</v>
      </c>
      <c r="K136" s="7" t="s">
        <v>1013</v>
      </c>
      <c r="L136" s="2" t="s">
        <v>17</v>
      </c>
      <c r="M136" s="2" t="s">
        <v>31</v>
      </c>
    </row>
    <row r="137" spans="1:23" x14ac:dyDescent="0.35">
      <c r="A137" s="2">
        <v>10245</v>
      </c>
      <c r="B137" s="2" t="s">
        <v>281</v>
      </c>
      <c r="C137" s="2" t="s">
        <v>127</v>
      </c>
      <c r="D137" s="2" t="s">
        <v>86</v>
      </c>
      <c r="E137" s="2" t="s">
        <v>11</v>
      </c>
      <c r="F137" s="2" t="s">
        <v>71</v>
      </c>
      <c r="G137" s="2">
        <v>1</v>
      </c>
      <c r="H137" s="9">
        <v>250000</v>
      </c>
      <c r="I137" s="9">
        <v>250000</v>
      </c>
      <c r="J137" s="21">
        <v>45917</v>
      </c>
      <c r="K137" s="7" t="s">
        <v>1015</v>
      </c>
      <c r="L137" s="2" t="s">
        <v>40</v>
      </c>
      <c r="M137" s="2" t="s">
        <v>31</v>
      </c>
    </row>
    <row r="138" spans="1:23" x14ac:dyDescent="0.35">
      <c r="A138" s="2">
        <v>10280</v>
      </c>
      <c r="B138" s="2" t="s">
        <v>128</v>
      </c>
      <c r="C138" s="2" t="s">
        <v>129</v>
      </c>
      <c r="D138" s="2" t="s">
        <v>33</v>
      </c>
      <c r="E138" s="2" t="s">
        <v>15</v>
      </c>
      <c r="F138" s="2" t="s">
        <v>42</v>
      </c>
      <c r="G138" s="2">
        <v>10</v>
      </c>
      <c r="H138" s="9">
        <v>199000</v>
      </c>
      <c r="I138" s="9">
        <v>1990000</v>
      </c>
      <c r="J138" s="21">
        <v>45980</v>
      </c>
      <c r="K138" s="7" t="s">
        <v>1009</v>
      </c>
      <c r="L138" s="2" t="s">
        <v>40</v>
      </c>
      <c r="M138" s="2" t="s">
        <v>27</v>
      </c>
    </row>
    <row r="139" spans="1:23" x14ac:dyDescent="0.35">
      <c r="A139" s="2">
        <v>10343</v>
      </c>
      <c r="B139" s="2" t="s">
        <v>142</v>
      </c>
      <c r="C139" s="2" t="s">
        <v>581</v>
      </c>
      <c r="D139" s="2" t="s">
        <v>23</v>
      </c>
      <c r="E139" s="2" t="s">
        <v>29</v>
      </c>
      <c r="F139" s="2" t="s">
        <v>64</v>
      </c>
      <c r="G139" s="2">
        <v>9</v>
      </c>
      <c r="H139" s="9">
        <v>50000</v>
      </c>
      <c r="I139" s="9">
        <v>450000</v>
      </c>
      <c r="J139" s="21">
        <v>45879</v>
      </c>
      <c r="K139" s="7" t="s">
        <v>1008</v>
      </c>
      <c r="L139" s="2" t="s">
        <v>13</v>
      </c>
      <c r="M139" s="2" t="s">
        <v>25</v>
      </c>
    </row>
    <row r="140" spans="1:23" x14ac:dyDescent="0.35">
      <c r="A140" s="2">
        <v>10293</v>
      </c>
      <c r="B140" s="2" t="s">
        <v>130</v>
      </c>
      <c r="C140" s="2" t="s">
        <v>131</v>
      </c>
      <c r="D140" s="2" t="s">
        <v>86</v>
      </c>
      <c r="E140" s="2" t="s">
        <v>29</v>
      </c>
      <c r="F140" s="2" t="s">
        <v>67</v>
      </c>
      <c r="G140" s="2">
        <v>8</v>
      </c>
      <c r="H140" s="9">
        <v>99000</v>
      </c>
      <c r="I140" s="9">
        <v>792000</v>
      </c>
      <c r="J140" s="21">
        <v>45666</v>
      </c>
      <c r="K140" s="7" t="s">
        <v>1005</v>
      </c>
      <c r="L140" s="2" t="s">
        <v>17</v>
      </c>
      <c r="M140" s="2" t="s">
        <v>20</v>
      </c>
    </row>
    <row r="141" spans="1:23" x14ac:dyDescent="0.35">
      <c r="A141" s="2">
        <v>10517</v>
      </c>
      <c r="B141" s="2" t="s">
        <v>132</v>
      </c>
      <c r="C141" s="2" t="s">
        <v>582</v>
      </c>
      <c r="D141" s="2" t="s">
        <v>63</v>
      </c>
      <c r="E141" s="2" t="s">
        <v>11</v>
      </c>
      <c r="F141" s="2" t="s">
        <v>71</v>
      </c>
      <c r="G141" s="2">
        <v>4</v>
      </c>
      <c r="H141" s="9">
        <v>35000</v>
      </c>
      <c r="I141" s="9">
        <v>140000</v>
      </c>
      <c r="J141" s="21">
        <v>45861</v>
      </c>
      <c r="K141" s="7" t="s">
        <v>1013</v>
      </c>
      <c r="L141" s="2" t="s">
        <v>13</v>
      </c>
      <c r="M141" s="2" t="s">
        <v>20</v>
      </c>
    </row>
    <row r="142" spans="1:23" x14ac:dyDescent="0.35">
      <c r="A142" s="2">
        <v>10024</v>
      </c>
      <c r="B142" s="2" t="s">
        <v>583</v>
      </c>
      <c r="C142" s="2" t="s">
        <v>584</v>
      </c>
      <c r="D142" s="2" t="s">
        <v>82</v>
      </c>
      <c r="E142" s="2" t="s">
        <v>34</v>
      </c>
      <c r="F142" s="2" t="s">
        <v>45</v>
      </c>
      <c r="G142" s="2">
        <v>8</v>
      </c>
      <c r="H142" s="9">
        <v>25000</v>
      </c>
      <c r="I142" s="9">
        <v>200000</v>
      </c>
      <c r="J142" s="20">
        <v>45804</v>
      </c>
      <c r="K142" s="7" t="s">
        <v>1006</v>
      </c>
      <c r="L142" s="2" t="s">
        <v>36</v>
      </c>
      <c r="M142" s="2" t="s">
        <v>25</v>
      </c>
      <c r="U142" s="10"/>
      <c r="V142" s="10"/>
      <c r="W142" s="11"/>
    </row>
    <row r="143" spans="1:23" x14ac:dyDescent="0.35">
      <c r="A143" s="2">
        <v>10529</v>
      </c>
      <c r="B143" s="2" t="s">
        <v>585</v>
      </c>
      <c r="C143" s="2" t="s">
        <v>133</v>
      </c>
      <c r="D143" s="2" t="s">
        <v>46</v>
      </c>
      <c r="E143" s="2" t="s">
        <v>18</v>
      </c>
      <c r="F143" s="2" t="s">
        <v>70</v>
      </c>
      <c r="G143" s="2">
        <v>1</v>
      </c>
      <c r="H143" s="9">
        <v>99000</v>
      </c>
      <c r="I143" s="9">
        <v>99000</v>
      </c>
      <c r="J143" s="21">
        <v>45811</v>
      </c>
      <c r="K143" s="7" t="s">
        <v>1007</v>
      </c>
      <c r="L143" s="2" t="s">
        <v>40</v>
      </c>
      <c r="M143" s="2" t="s">
        <v>14</v>
      </c>
      <c r="U143" s="10"/>
      <c r="V143" s="10"/>
      <c r="W143" s="11"/>
    </row>
    <row r="144" spans="1:23" x14ac:dyDescent="0.35">
      <c r="A144" s="2">
        <v>10541</v>
      </c>
      <c r="B144" s="2" t="s">
        <v>586</v>
      </c>
      <c r="C144" s="2" t="s">
        <v>436</v>
      </c>
      <c r="D144" s="2" t="s">
        <v>66</v>
      </c>
      <c r="E144" s="2" t="s">
        <v>34</v>
      </c>
      <c r="F144" s="2" t="s">
        <v>77</v>
      </c>
      <c r="G144" s="2">
        <v>6</v>
      </c>
      <c r="H144" s="9">
        <v>250000</v>
      </c>
      <c r="I144" s="9">
        <v>1500000</v>
      </c>
      <c r="J144" s="21">
        <v>45689</v>
      </c>
      <c r="K144" s="7" t="s">
        <v>1011</v>
      </c>
      <c r="L144" s="2" t="s">
        <v>36</v>
      </c>
      <c r="M144" s="2" t="s">
        <v>20</v>
      </c>
      <c r="U144" s="10"/>
      <c r="V144" s="10"/>
      <c r="W144" s="11"/>
    </row>
    <row r="145" spans="1:23" x14ac:dyDescent="0.35">
      <c r="A145" s="2">
        <v>10583</v>
      </c>
      <c r="B145" s="2" t="s">
        <v>587</v>
      </c>
      <c r="C145" s="2" t="s">
        <v>134</v>
      </c>
      <c r="D145" s="2" t="s">
        <v>117</v>
      </c>
      <c r="E145" s="2" t="s">
        <v>15</v>
      </c>
      <c r="F145" s="2" t="s">
        <v>73</v>
      </c>
      <c r="G145" s="2">
        <v>5</v>
      </c>
      <c r="H145" s="9">
        <v>150000</v>
      </c>
      <c r="I145" s="9">
        <v>750000</v>
      </c>
      <c r="J145" s="21">
        <v>45820</v>
      </c>
      <c r="K145" s="7" t="s">
        <v>1007</v>
      </c>
      <c r="L145" s="2" t="s">
        <v>13</v>
      </c>
      <c r="M145" s="2" t="s">
        <v>14</v>
      </c>
      <c r="U145" s="10"/>
      <c r="V145" s="10"/>
      <c r="W145" s="11"/>
    </row>
    <row r="146" spans="1:23" x14ac:dyDescent="0.35">
      <c r="A146" s="2">
        <v>10494</v>
      </c>
      <c r="B146" s="2" t="s">
        <v>135</v>
      </c>
      <c r="C146" s="2" t="s">
        <v>436</v>
      </c>
      <c r="D146" s="2" t="s">
        <v>63</v>
      </c>
      <c r="E146" s="2" t="s">
        <v>34</v>
      </c>
      <c r="F146" s="2" t="s">
        <v>35</v>
      </c>
      <c r="G146" s="2">
        <v>10</v>
      </c>
      <c r="H146" s="9">
        <v>199000</v>
      </c>
      <c r="I146" s="9">
        <v>1990000</v>
      </c>
      <c r="J146" s="20">
        <v>45732</v>
      </c>
      <c r="K146" s="7" t="s">
        <v>1016</v>
      </c>
      <c r="L146" s="2" t="s">
        <v>17</v>
      </c>
      <c r="M146" s="2" t="s">
        <v>25</v>
      </c>
      <c r="U146" s="10"/>
      <c r="V146" s="10"/>
      <c r="W146" s="11"/>
    </row>
    <row r="147" spans="1:23" x14ac:dyDescent="0.35">
      <c r="A147" s="2">
        <v>10580</v>
      </c>
      <c r="B147" s="2" t="s">
        <v>136</v>
      </c>
      <c r="C147" s="2" t="s">
        <v>588</v>
      </c>
      <c r="D147" s="2" t="s">
        <v>59</v>
      </c>
      <c r="E147" s="2" t="s">
        <v>18</v>
      </c>
      <c r="F147" s="2" t="s">
        <v>19</v>
      </c>
      <c r="G147" s="2">
        <v>6</v>
      </c>
      <c r="H147" s="9">
        <v>250000</v>
      </c>
      <c r="I147" s="9">
        <v>1500000</v>
      </c>
      <c r="J147" s="21">
        <v>45870</v>
      </c>
      <c r="K147" s="7" t="s">
        <v>1008</v>
      </c>
      <c r="L147" s="2" t="s">
        <v>36</v>
      </c>
      <c r="M147" s="2" t="s">
        <v>25</v>
      </c>
      <c r="U147" s="10"/>
      <c r="V147" s="10"/>
      <c r="W147" s="11"/>
    </row>
    <row r="148" spans="1:23" x14ac:dyDescent="0.35">
      <c r="A148" s="2">
        <v>10359</v>
      </c>
      <c r="B148" s="2" t="s">
        <v>589</v>
      </c>
      <c r="C148" s="2" t="s">
        <v>590</v>
      </c>
      <c r="D148" s="2" t="s">
        <v>33</v>
      </c>
      <c r="E148" s="2" t="s">
        <v>34</v>
      </c>
      <c r="F148" s="2" t="s">
        <v>35</v>
      </c>
      <c r="G148" s="2">
        <v>6</v>
      </c>
      <c r="H148" s="9">
        <v>25000</v>
      </c>
      <c r="I148" s="9">
        <v>150000</v>
      </c>
      <c r="J148" s="20">
        <v>45762</v>
      </c>
      <c r="K148" s="7" t="s">
        <v>1012</v>
      </c>
      <c r="L148" s="2" t="s">
        <v>17</v>
      </c>
      <c r="M148" s="2" t="s">
        <v>31</v>
      </c>
      <c r="U148" s="10"/>
      <c r="V148" s="10"/>
      <c r="W148" s="11"/>
    </row>
    <row r="149" spans="1:23" x14ac:dyDescent="0.35">
      <c r="A149" s="2">
        <v>10120</v>
      </c>
      <c r="B149" s="2" t="s">
        <v>523</v>
      </c>
      <c r="C149" s="2" t="s">
        <v>137</v>
      </c>
      <c r="D149" s="2" t="s">
        <v>59</v>
      </c>
      <c r="E149" s="2" t="s">
        <v>29</v>
      </c>
      <c r="F149" s="2" t="s">
        <v>81</v>
      </c>
      <c r="G149" s="2">
        <v>1</v>
      </c>
      <c r="H149" s="9">
        <v>50000</v>
      </c>
      <c r="I149" s="9">
        <v>50000</v>
      </c>
      <c r="J149" s="21">
        <v>45885</v>
      </c>
      <c r="K149" s="7" t="s">
        <v>1008</v>
      </c>
      <c r="L149" s="2" t="s">
        <v>17</v>
      </c>
      <c r="M149" s="2" t="s">
        <v>25</v>
      </c>
      <c r="U149" s="10"/>
      <c r="V149" s="10"/>
      <c r="W149" s="11"/>
    </row>
    <row r="150" spans="1:23" x14ac:dyDescent="0.35">
      <c r="A150" s="2">
        <v>10130</v>
      </c>
      <c r="B150" s="2" t="s">
        <v>591</v>
      </c>
      <c r="C150" s="2" t="s">
        <v>592</v>
      </c>
      <c r="D150" s="2" t="s">
        <v>46</v>
      </c>
      <c r="E150" s="2" t="s">
        <v>11</v>
      </c>
      <c r="F150" s="2" t="s">
        <v>39</v>
      </c>
      <c r="G150" s="2">
        <v>10</v>
      </c>
      <c r="H150" s="9">
        <v>25000</v>
      </c>
      <c r="I150" s="9">
        <v>250000</v>
      </c>
      <c r="J150" s="21">
        <v>46002</v>
      </c>
      <c r="K150" s="7" t="s">
        <v>1010</v>
      </c>
      <c r="L150" s="2" t="s">
        <v>36</v>
      </c>
      <c r="M150" s="2" t="s">
        <v>25</v>
      </c>
      <c r="U150" s="10"/>
      <c r="V150" s="10"/>
      <c r="W150" s="11"/>
    </row>
    <row r="151" spans="1:23" x14ac:dyDescent="0.35">
      <c r="A151" s="2">
        <v>10467</v>
      </c>
      <c r="B151" s="2" t="s">
        <v>593</v>
      </c>
      <c r="C151" s="2" t="s">
        <v>138</v>
      </c>
      <c r="D151" s="2" t="s">
        <v>82</v>
      </c>
      <c r="E151" s="2" t="s">
        <v>18</v>
      </c>
      <c r="F151" s="2" t="s">
        <v>19</v>
      </c>
      <c r="G151" s="2">
        <v>1</v>
      </c>
      <c r="H151" s="9">
        <v>35000</v>
      </c>
      <c r="I151" s="9">
        <v>35000</v>
      </c>
      <c r="J151" s="21">
        <v>45756</v>
      </c>
      <c r="K151" s="7" t="s">
        <v>1012</v>
      </c>
      <c r="L151" s="2" t="s">
        <v>40</v>
      </c>
      <c r="M151" s="2" t="s">
        <v>27</v>
      </c>
      <c r="U151" s="10"/>
      <c r="V151" s="10"/>
      <c r="W151" s="11"/>
    </row>
    <row r="152" spans="1:23" x14ac:dyDescent="0.35">
      <c r="A152" s="2">
        <v>10497</v>
      </c>
      <c r="B152" s="2" t="s">
        <v>594</v>
      </c>
      <c r="C152" s="2" t="s">
        <v>595</v>
      </c>
      <c r="D152" s="2" t="s">
        <v>148</v>
      </c>
      <c r="E152" s="2" t="s">
        <v>18</v>
      </c>
      <c r="F152" s="2" t="s">
        <v>19</v>
      </c>
      <c r="G152" s="2">
        <v>9</v>
      </c>
      <c r="H152" s="9">
        <v>99000</v>
      </c>
      <c r="I152" s="9">
        <v>891000</v>
      </c>
      <c r="J152" s="21">
        <v>45853</v>
      </c>
      <c r="K152" s="7" t="s">
        <v>1013</v>
      </c>
      <c r="L152" s="2" t="s">
        <v>17</v>
      </c>
      <c r="M152" s="2" t="s">
        <v>20</v>
      </c>
      <c r="U152" s="10"/>
      <c r="V152" s="10"/>
      <c r="W152" s="11"/>
    </row>
    <row r="153" spans="1:23" x14ac:dyDescent="0.35">
      <c r="A153" s="2">
        <v>10323</v>
      </c>
      <c r="B153" s="2" t="s">
        <v>139</v>
      </c>
      <c r="C153" s="2" t="s">
        <v>140</v>
      </c>
      <c r="D153" s="2" t="s">
        <v>86</v>
      </c>
      <c r="E153" s="2" t="s">
        <v>11</v>
      </c>
      <c r="F153" s="2" t="s">
        <v>61</v>
      </c>
      <c r="G153" s="2">
        <v>8</v>
      </c>
      <c r="H153" s="9">
        <v>150000</v>
      </c>
      <c r="I153" s="9">
        <v>1200000</v>
      </c>
      <c r="J153" s="21">
        <v>45702</v>
      </c>
      <c r="K153" s="7" t="s">
        <v>1011</v>
      </c>
      <c r="L153" s="2" t="s">
        <v>36</v>
      </c>
      <c r="M153" s="2" t="s">
        <v>20</v>
      </c>
      <c r="U153" s="10"/>
      <c r="V153" s="10"/>
      <c r="W153" s="11"/>
    </row>
    <row r="154" spans="1:23" x14ac:dyDescent="0.35">
      <c r="A154" s="2">
        <v>10284</v>
      </c>
      <c r="B154" s="2" t="s">
        <v>173</v>
      </c>
      <c r="C154" s="2" t="s">
        <v>141</v>
      </c>
      <c r="D154" s="2" t="s">
        <v>33</v>
      </c>
      <c r="E154" s="2" t="s">
        <v>29</v>
      </c>
      <c r="F154" s="2" t="s">
        <v>41</v>
      </c>
      <c r="G154" s="2">
        <v>7</v>
      </c>
      <c r="H154" s="9">
        <v>75000</v>
      </c>
      <c r="I154" s="9">
        <v>525000</v>
      </c>
      <c r="J154" s="21">
        <v>45911</v>
      </c>
      <c r="K154" s="7" t="s">
        <v>1015</v>
      </c>
      <c r="L154" s="2" t="s">
        <v>24</v>
      </c>
      <c r="M154" s="2" t="s">
        <v>14</v>
      </c>
      <c r="U154" s="10"/>
      <c r="V154" s="10"/>
      <c r="W154" s="11"/>
    </row>
    <row r="155" spans="1:23" x14ac:dyDescent="0.35">
      <c r="A155" s="2">
        <v>10270</v>
      </c>
      <c r="B155" s="2" t="s">
        <v>596</v>
      </c>
      <c r="C155" s="2" t="s">
        <v>597</v>
      </c>
      <c r="D155" s="2" t="s">
        <v>33</v>
      </c>
      <c r="E155" s="2" t="s">
        <v>29</v>
      </c>
      <c r="F155" s="2" t="s">
        <v>30</v>
      </c>
      <c r="G155" s="2">
        <v>3</v>
      </c>
      <c r="H155" s="9">
        <v>35000</v>
      </c>
      <c r="I155" s="9">
        <v>105000</v>
      </c>
      <c r="J155" s="21">
        <v>45973</v>
      </c>
      <c r="K155" s="7" t="s">
        <v>1009</v>
      </c>
      <c r="L155" s="2" t="s">
        <v>17</v>
      </c>
      <c r="M155" s="2" t="s">
        <v>27</v>
      </c>
      <c r="U155" s="10"/>
      <c r="V155" s="10"/>
      <c r="W155" s="11"/>
    </row>
    <row r="156" spans="1:23" x14ac:dyDescent="0.35">
      <c r="A156" s="2">
        <v>10112</v>
      </c>
      <c r="B156" s="2" t="s">
        <v>598</v>
      </c>
      <c r="C156" s="2" t="s">
        <v>436</v>
      </c>
      <c r="D156" s="2" t="s">
        <v>82</v>
      </c>
      <c r="E156" s="2" t="s">
        <v>29</v>
      </c>
      <c r="F156" s="2" t="s">
        <v>30</v>
      </c>
      <c r="G156" s="2">
        <v>6</v>
      </c>
      <c r="H156" s="9">
        <v>45000</v>
      </c>
      <c r="I156" s="9">
        <v>270000</v>
      </c>
      <c r="J156" s="21">
        <v>45847</v>
      </c>
      <c r="K156" s="7" t="s">
        <v>1013</v>
      </c>
      <c r="L156" s="2" t="s">
        <v>17</v>
      </c>
      <c r="M156" s="2" t="s">
        <v>20</v>
      </c>
      <c r="U156" s="10"/>
      <c r="V156" s="10"/>
      <c r="W156" s="11"/>
    </row>
    <row r="157" spans="1:23" x14ac:dyDescent="0.35">
      <c r="A157" s="2">
        <v>10519</v>
      </c>
      <c r="B157" s="2" t="s">
        <v>190</v>
      </c>
      <c r="C157" s="2" t="s">
        <v>599</v>
      </c>
      <c r="D157" s="2" t="s">
        <v>117</v>
      </c>
      <c r="E157" s="2" t="s">
        <v>34</v>
      </c>
      <c r="F157" s="2" t="s">
        <v>45</v>
      </c>
      <c r="G157" s="2">
        <v>8</v>
      </c>
      <c r="H157" s="9">
        <v>45000</v>
      </c>
      <c r="I157" s="9">
        <f>G157*H157</f>
        <v>360000</v>
      </c>
      <c r="J157" s="21">
        <v>45745</v>
      </c>
      <c r="K157" s="7" t="s">
        <v>1016</v>
      </c>
      <c r="L157" s="2" t="s">
        <v>36</v>
      </c>
      <c r="M157" s="2" t="s">
        <v>25</v>
      </c>
      <c r="U157" s="10"/>
      <c r="V157" s="10"/>
      <c r="W157" s="11"/>
    </row>
    <row r="158" spans="1:23" x14ac:dyDescent="0.35">
      <c r="A158" s="2">
        <v>10128</v>
      </c>
      <c r="B158" s="2" t="s">
        <v>376</v>
      </c>
      <c r="C158" s="2" t="s">
        <v>600</v>
      </c>
      <c r="D158" s="2" t="s">
        <v>148</v>
      </c>
      <c r="E158" s="2" t="s">
        <v>34</v>
      </c>
      <c r="F158" s="2" t="s">
        <v>45</v>
      </c>
      <c r="G158" s="2">
        <v>9</v>
      </c>
      <c r="H158" s="9">
        <v>99000</v>
      </c>
      <c r="I158" s="9">
        <v>891000</v>
      </c>
      <c r="J158" s="21">
        <v>45894</v>
      </c>
      <c r="K158" s="7" t="s">
        <v>1008</v>
      </c>
      <c r="L158" s="2" t="s">
        <v>36</v>
      </c>
      <c r="M158" s="2" t="s">
        <v>20</v>
      </c>
      <c r="U158" s="10"/>
      <c r="V158" s="10"/>
      <c r="W158" s="11"/>
    </row>
    <row r="159" spans="1:23" x14ac:dyDescent="0.35">
      <c r="A159" s="2">
        <v>10143</v>
      </c>
      <c r="B159" s="2" t="s">
        <v>601</v>
      </c>
      <c r="C159" s="2" t="s">
        <v>602</v>
      </c>
      <c r="D159" s="2" t="s">
        <v>117</v>
      </c>
      <c r="E159" s="2" t="s">
        <v>15</v>
      </c>
      <c r="F159" s="2" t="s">
        <v>16</v>
      </c>
      <c r="G159" s="2">
        <v>9</v>
      </c>
      <c r="H159" s="9">
        <v>150000</v>
      </c>
      <c r="I159" s="9">
        <v>1350000</v>
      </c>
      <c r="J159" s="20">
        <v>45973</v>
      </c>
      <c r="K159" s="7" t="s">
        <v>1009</v>
      </c>
      <c r="L159" s="2" t="s">
        <v>36</v>
      </c>
      <c r="M159" s="2" t="s">
        <v>25</v>
      </c>
      <c r="U159" s="10"/>
      <c r="V159" s="10"/>
      <c r="W159" s="11"/>
    </row>
    <row r="160" spans="1:23" x14ac:dyDescent="0.35">
      <c r="A160" s="2">
        <v>10475</v>
      </c>
      <c r="B160" s="2" t="s">
        <v>603</v>
      </c>
      <c r="C160" s="2" t="s">
        <v>604</v>
      </c>
      <c r="D160" s="2" t="s">
        <v>33</v>
      </c>
      <c r="E160" s="2" t="s">
        <v>29</v>
      </c>
      <c r="F160" s="2" t="s">
        <v>81</v>
      </c>
      <c r="G160" s="2">
        <v>9</v>
      </c>
      <c r="H160" s="9">
        <v>50000</v>
      </c>
      <c r="I160" s="9">
        <v>450000</v>
      </c>
      <c r="J160" s="21">
        <v>45710</v>
      </c>
      <c r="K160" s="7" t="s">
        <v>1011</v>
      </c>
      <c r="L160" s="2" t="s">
        <v>13</v>
      </c>
      <c r="M160" s="2" t="s">
        <v>20</v>
      </c>
      <c r="U160" s="10"/>
      <c r="V160" s="10"/>
      <c r="W160" s="11"/>
    </row>
    <row r="161" spans="1:23" x14ac:dyDescent="0.35">
      <c r="A161" s="2">
        <v>10485</v>
      </c>
      <c r="B161" s="2" t="s">
        <v>142</v>
      </c>
      <c r="C161" s="2" t="s">
        <v>605</v>
      </c>
      <c r="D161" s="2" t="s">
        <v>66</v>
      </c>
      <c r="E161" s="2" t="s">
        <v>29</v>
      </c>
      <c r="F161" s="2" t="s">
        <v>64</v>
      </c>
      <c r="G161" s="2">
        <v>1</v>
      </c>
      <c r="H161" s="9">
        <v>75000</v>
      </c>
      <c r="I161" s="9">
        <v>75000</v>
      </c>
      <c r="J161" s="21">
        <v>45802</v>
      </c>
      <c r="K161" s="7" t="s">
        <v>1006</v>
      </c>
      <c r="L161" s="2" t="s">
        <v>40</v>
      </c>
      <c r="M161" s="2" t="s">
        <v>27</v>
      </c>
      <c r="U161" s="10"/>
      <c r="V161" s="10"/>
      <c r="W161" s="11"/>
    </row>
    <row r="162" spans="1:23" x14ac:dyDescent="0.35">
      <c r="A162" s="2">
        <v>10252</v>
      </c>
      <c r="B162" s="2" t="s">
        <v>606</v>
      </c>
      <c r="C162" s="2" t="s">
        <v>143</v>
      </c>
      <c r="D162" s="2" t="s">
        <v>86</v>
      </c>
      <c r="E162" s="2" t="s">
        <v>29</v>
      </c>
      <c r="F162" s="2" t="s">
        <v>41</v>
      </c>
      <c r="G162" s="2">
        <v>7</v>
      </c>
      <c r="H162" s="9">
        <v>199000</v>
      </c>
      <c r="I162" s="9">
        <v>1393000</v>
      </c>
      <c r="J162" s="21">
        <v>45769</v>
      </c>
      <c r="K162" s="7" t="s">
        <v>1012</v>
      </c>
      <c r="L162" s="2" t="s">
        <v>24</v>
      </c>
      <c r="M162" s="2" t="s">
        <v>25</v>
      </c>
      <c r="U162" s="10"/>
      <c r="V162" s="10"/>
      <c r="W162" s="11"/>
    </row>
    <row r="163" spans="1:23" x14ac:dyDescent="0.35">
      <c r="A163" s="2">
        <v>10136</v>
      </c>
      <c r="B163" s="2" t="s">
        <v>607</v>
      </c>
      <c r="C163" s="2" t="s">
        <v>144</v>
      </c>
      <c r="D163" s="2" t="s">
        <v>82</v>
      </c>
      <c r="E163" s="2" t="s">
        <v>11</v>
      </c>
      <c r="F163" s="2" t="s">
        <v>39</v>
      </c>
      <c r="G163" s="2">
        <v>1</v>
      </c>
      <c r="H163" s="9">
        <v>25000</v>
      </c>
      <c r="I163" s="9">
        <v>25000</v>
      </c>
      <c r="J163" s="21">
        <v>45892</v>
      </c>
      <c r="K163" s="7" t="s">
        <v>1008</v>
      </c>
      <c r="L163" s="2" t="s">
        <v>17</v>
      </c>
      <c r="M163" s="2" t="s">
        <v>14</v>
      </c>
      <c r="U163" s="10"/>
      <c r="V163" s="10"/>
      <c r="W163" s="11"/>
    </row>
    <row r="164" spans="1:23" x14ac:dyDescent="0.35">
      <c r="A164" s="2">
        <v>10433</v>
      </c>
      <c r="B164" s="2" t="s">
        <v>145</v>
      </c>
      <c r="C164" s="2" t="s">
        <v>608</v>
      </c>
      <c r="D164" s="2" t="s">
        <v>33</v>
      </c>
      <c r="E164" s="2" t="s">
        <v>15</v>
      </c>
      <c r="F164" s="2" t="s">
        <v>55</v>
      </c>
      <c r="G164" s="2">
        <v>7</v>
      </c>
      <c r="H164" s="9">
        <v>250000</v>
      </c>
      <c r="I164" s="9">
        <v>1750000</v>
      </c>
      <c r="J164" s="21">
        <v>45805</v>
      </c>
      <c r="K164" s="7" t="s">
        <v>1006</v>
      </c>
      <c r="L164" s="2" t="s">
        <v>40</v>
      </c>
      <c r="M164" s="2" t="s">
        <v>31</v>
      </c>
      <c r="U164" s="10"/>
      <c r="V164" s="10"/>
      <c r="W164" s="11"/>
    </row>
    <row r="165" spans="1:23" x14ac:dyDescent="0.35">
      <c r="A165" s="2">
        <v>10192</v>
      </c>
      <c r="B165" s="2" t="s">
        <v>609</v>
      </c>
      <c r="C165" s="2" t="s">
        <v>146</v>
      </c>
      <c r="D165" s="2" t="s">
        <v>33</v>
      </c>
      <c r="E165" s="2" t="s">
        <v>18</v>
      </c>
      <c r="F165" s="2" t="s">
        <v>19</v>
      </c>
      <c r="G165" s="2">
        <v>4</v>
      </c>
      <c r="H165" s="9">
        <v>25000</v>
      </c>
      <c r="I165" s="9">
        <v>100000</v>
      </c>
      <c r="J165" s="21">
        <v>45859</v>
      </c>
      <c r="K165" s="7" t="s">
        <v>1013</v>
      </c>
      <c r="L165" s="2" t="s">
        <v>36</v>
      </c>
      <c r="M165" s="2" t="s">
        <v>20</v>
      </c>
      <c r="U165" s="10"/>
      <c r="V165" s="10"/>
      <c r="W165" s="11"/>
    </row>
    <row r="166" spans="1:23" x14ac:dyDescent="0.35">
      <c r="A166" s="2">
        <v>10434</v>
      </c>
      <c r="B166" s="2" t="s">
        <v>610</v>
      </c>
      <c r="C166" s="2" t="s">
        <v>611</v>
      </c>
      <c r="D166" s="2" t="s">
        <v>23</v>
      </c>
      <c r="E166" s="2" t="s">
        <v>15</v>
      </c>
      <c r="F166" s="2" t="s">
        <v>49</v>
      </c>
      <c r="G166" s="2">
        <v>10</v>
      </c>
      <c r="H166" s="9">
        <v>25000</v>
      </c>
      <c r="I166" s="9">
        <v>250000</v>
      </c>
      <c r="J166" s="21">
        <v>45983</v>
      </c>
      <c r="K166" s="7" t="s">
        <v>1009</v>
      </c>
      <c r="L166" s="2" t="s">
        <v>36</v>
      </c>
      <c r="M166" s="2" t="s">
        <v>14</v>
      </c>
      <c r="U166" s="10"/>
      <c r="V166" s="10"/>
      <c r="W166" s="11"/>
    </row>
    <row r="167" spans="1:23" x14ac:dyDescent="0.35">
      <c r="A167" s="2">
        <v>10358</v>
      </c>
      <c r="B167" s="2" t="s">
        <v>447</v>
      </c>
      <c r="C167" s="2" t="s">
        <v>612</v>
      </c>
      <c r="D167" s="2" t="s">
        <v>82</v>
      </c>
      <c r="E167" s="2" t="s">
        <v>18</v>
      </c>
      <c r="F167" s="2" t="s">
        <v>52</v>
      </c>
      <c r="G167" s="2">
        <v>1</v>
      </c>
      <c r="H167" s="9">
        <v>45000</v>
      </c>
      <c r="I167" s="9">
        <v>45000</v>
      </c>
      <c r="J167" s="21">
        <v>45734</v>
      </c>
      <c r="K167" s="7" t="s">
        <v>1016</v>
      </c>
      <c r="L167" s="2" t="s">
        <v>24</v>
      </c>
      <c r="M167" s="2" t="s">
        <v>31</v>
      </c>
      <c r="U167" s="10"/>
      <c r="V167" s="10"/>
      <c r="W167" s="11"/>
    </row>
    <row r="168" spans="1:23" x14ac:dyDescent="0.35">
      <c r="A168" s="2">
        <v>10488</v>
      </c>
      <c r="B168" s="2" t="s">
        <v>613</v>
      </c>
      <c r="C168" s="2" t="s">
        <v>147</v>
      </c>
      <c r="D168" s="2" t="s">
        <v>148</v>
      </c>
      <c r="E168" s="2" t="s">
        <v>11</v>
      </c>
      <c r="F168" s="2" t="s">
        <v>39</v>
      </c>
      <c r="G168" s="2">
        <v>6</v>
      </c>
      <c r="H168" s="9">
        <v>75000</v>
      </c>
      <c r="I168" s="9">
        <v>450000</v>
      </c>
      <c r="J168" s="21">
        <v>45703</v>
      </c>
      <c r="K168" s="7" t="s">
        <v>1011</v>
      </c>
      <c r="L168" s="2" t="s">
        <v>24</v>
      </c>
      <c r="M168" s="2" t="s">
        <v>31</v>
      </c>
      <c r="U168" s="10"/>
      <c r="V168" s="10"/>
      <c r="W168" s="11"/>
    </row>
    <row r="169" spans="1:23" x14ac:dyDescent="0.35">
      <c r="A169" s="2">
        <v>10421</v>
      </c>
      <c r="B169" s="2" t="s">
        <v>97</v>
      </c>
      <c r="C169" s="2" t="s">
        <v>614</v>
      </c>
      <c r="D169" s="2" t="s">
        <v>59</v>
      </c>
      <c r="E169" s="2" t="s">
        <v>34</v>
      </c>
      <c r="F169" s="2" t="s">
        <v>35</v>
      </c>
      <c r="G169" s="2">
        <v>1</v>
      </c>
      <c r="H169" s="9">
        <v>99000</v>
      </c>
      <c r="I169" s="9">
        <v>99000</v>
      </c>
      <c r="J169" s="21">
        <v>45672</v>
      </c>
      <c r="K169" s="7" t="s">
        <v>1005</v>
      </c>
      <c r="L169" s="2" t="s">
        <v>24</v>
      </c>
      <c r="M169" s="2" t="s">
        <v>25</v>
      </c>
      <c r="U169" s="10"/>
      <c r="V169" s="10"/>
      <c r="W169" s="11"/>
    </row>
    <row r="170" spans="1:23" x14ac:dyDescent="0.35">
      <c r="A170" s="2">
        <v>10096</v>
      </c>
      <c r="B170" s="2" t="s">
        <v>545</v>
      </c>
      <c r="C170" s="2" t="s">
        <v>615</v>
      </c>
      <c r="D170" s="2" t="s">
        <v>117</v>
      </c>
      <c r="E170" s="2" t="s">
        <v>34</v>
      </c>
      <c r="F170" s="2" t="s">
        <v>47</v>
      </c>
      <c r="G170" s="2">
        <v>9</v>
      </c>
      <c r="H170" s="31">
        <v>75000</v>
      </c>
      <c r="I170" s="9">
        <f>G170*H170</f>
        <v>675000</v>
      </c>
      <c r="J170" s="21">
        <v>45848</v>
      </c>
      <c r="K170" s="7" t="s">
        <v>1013</v>
      </c>
      <c r="L170" s="2" t="s">
        <v>17</v>
      </c>
      <c r="M170" s="2" t="s">
        <v>25</v>
      </c>
      <c r="U170" s="10"/>
      <c r="V170" s="10"/>
      <c r="W170" s="11"/>
    </row>
    <row r="171" spans="1:23" x14ac:dyDescent="0.35">
      <c r="A171" s="2">
        <v>10084</v>
      </c>
      <c r="B171" s="2" t="s">
        <v>149</v>
      </c>
      <c r="C171" s="2" t="s">
        <v>150</v>
      </c>
      <c r="D171" s="2" t="s">
        <v>59</v>
      </c>
      <c r="E171" s="2" t="s">
        <v>11</v>
      </c>
      <c r="F171" s="2" t="s">
        <v>12</v>
      </c>
      <c r="G171" s="2">
        <v>9</v>
      </c>
      <c r="H171" s="9">
        <v>150000</v>
      </c>
      <c r="I171" s="9">
        <v>1350000</v>
      </c>
      <c r="J171" s="21">
        <v>45806</v>
      </c>
      <c r="K171" s="7" t="s">
        <v>1006</v>
      </c>
      <c r="L171" s="2" t="s">
        <v>17</v>
      </c>
      <c r="M171" s="2" t="s">
        <v>31</v>
      </c>
      <c r="U171" s="10"/>
      <c r="V171" s="10"/>
      <c r="W171" s="11"/>
    </row>
    <row r="172" spans="1:23" x14ac:dyDescent="0.35">
      <c r="A172" s="2">
        <v>10492</v>
      </c>
      <c r="B172" s="2" t="s">
        <v>151</v>
      </c>
      <c r="C172" s="2" t="s">
        <v>436</v>
      </c>
      <c r="D172" s="2" t="s">
        <v>23</v>
      </c>
      <c r="E172" s="2" t="s">
        <v>15</v>
      </c>
      <c r="F172" s="2" t="s">
        <v>73</v>
      </c>
      <c r="G172" s="2">
        <v>5</v>
      </c>
      <c r="H172" s="9">
        <v>250000</v>
      </c>
      <c r="I172" s="9">
        <v>1250000</v>
      </c>
      <c r="J172" s="20">
        <v>45748</v>
      </c>
      <c r="K172" s="7" t="s">
        <v>1012</v>
      </c>
      <c r="L172" s="2" t="s">
        <v>24</v>
      </c>
      <c r="M172" s="2" t="s">
        <v>31</v>
      </c>
      <c r="U172" s="10"/>
      <c r="V172" s="10"/>
      <c r="W172" s="11"/>
    </row>
    <row r="173" spans="1:23" x14ac:dyDescent="0.35">
      <c r="A173" s="2">
        <v>10161</v>
      </c>
      <c r="B173" s="2" t="s">
        <v>616</v>
      </c>
      <c r="C173" s="2" t="s">
        <v>617</v>
      </c>
      <c r="D173" s="2" t="s">
        <v>23</v>
      </c>
      <c r="E173" s="2" t="s">
        <v>29</v>
      </c>
      <c r="F173" s="2" t="s">
        <v>64</v>
      </c>
      <c r="G173" s="2">
        <v>5</v>
      </c>
      <c r="H173" s="9">
        <v>25000</v>
      </c>
      <c r="I173" s="9">
        <v>125000</v>
      </c>
      <c r="J173" s="21">
        <v>45658</v>
      </c>
      <c r="K173" s="7" t="s">
        <v>1005</v>
      </c>
      <c r="L173" s="2" t="s">
        <v>24</v>
      </c>
      <c r="M173" s="2" t="s">
        <v>20</v>
      </c>
      <c r="U173" s="10"/>
      <c r="V173" s="10"/>
      <c r="W173" s="11"/>
    </row>
    <row r="174" spans="1:23" x14ac:dyDescent="0.35">
      <c r="A174" s="2">
        <v>10532</v>
      </c>
      <c r="B174" s="2" t="s">
        <v>618</v>
      </c>
      <c r="C174" s="2" t="s">
        <v>619</v>
      </c>
      <c r="D174" s="2" t="s">
        <v>33</v>
      </c>
      <c r="E174" s="2" t="s">
        <v>34</v>
      </c>
      <c r="F174" s="2" t="s">
        <v>35</v>
      </c>
      <c r="G174" s="2">
        <v>3</v>
      </c>
      <c r="H174" s="9">
        <v>35000</v>
      </c>
      <c r="I174" s="9">
        <v>105000</v>
      </c>
      <c r="J174" s="21">
        <v>45728</v>
      </c>
      <c r="K174" s="7" t="s">
        <v>1016</v>
      </c>
      <c r="L174" s="2" t="s">
        <v>36</v>
      </c>
      <c r="M174" s="2" t="s">
        <v>31</v>
      </c>
      <c r="U174" s="10"/>
      <c r="V174" s="10"/>
      <c r="W174" s="11"/>
    </row>
    <row r="175" spans="1:23" x14ac:dyDescent="0.35">
      <c r="A175" s="2">
        <v>10069</v>
      </c>
      <c r="B175" s="2" t="s">
        <v>152</v>
      </c>
      <c r="C175" s="2" t="s">
        <v>153</v>
      </c>
      <c r="D175" s="2" t="s">
        <v>23</v>
      </c>
      <c r="E175" s="2" t="s">
        <v>15</v>
      </c>
      <c r="F175" s="2" t="s">
        <v>49</v>
      </c>
      <c r="G175" s="2">
        <v>9</v>
      </c>
      <c r="H175" s="9">
        <v>150000</v>
      </c>
      <c r="I175" s="9">
        <v>1350000</v>
      </c>
      <c r="J175" s="21">
        <v>45970</v>
      </c>
      <c r="K175" s="7" t="s">
        <v>1009</v>
      </c>
      <c r="L175" s="2" t="s">
        <v>36</v>
      </c>
      <c r="M175" s="2" t="s">
        <v>25</v>
      </c>
      <c r="U175" s="10"/>
      <c r="V175" s="10"/>
      <c r="W175" s="11"/>
    </row>
    <row r="176" spans="1:23" x14ac:dyDescent="0.35">
      <c r="A176" s="2">
        <v>10217</v>
      </c>
      <c r="B176" s="2" t="s">
        <v>620</v>
      </c>
      <c r="C176" s="2" t="s">
        <v>436</v>
      </c>
      <c r="D176" s="2" t="s">
        <v>82</v>
      </c>
      <c r="E176" s="2" t="s">
        <v>29</v>
      </c>
      <c r="F176" s="2" t="s">
        <v>64</v>
      </c>
      <c r="G176" s="2">
        <v>10</v>
      </c>
      <c r="H176" s="9">
        <v>150000</v>
      </c>
      <c r="I176" s="9">
        <v>1500000</v>
      </c>
      <c r="J176" s="21">
        <v>45867</v>
      </c>
      <c r="K176" s="7" t="s">
        <v>1013</v>
      </c>
      <c r="L176" s="2" t="s">
        <v>17</v>
      </c>
      <c r="M176" s="2" t="s">
        <v>31</v>
      </c>
      <c r="U176" s="10"/>
      <c r="V176" s="10"/>
      <c r="W176" s="11"/>
    </row>
    <row r="177" spans="1:23" x14ac:dyDescent="0.35">
      <c r="A177" s="2">
        <v>10104</v>
      </c>
      <c r="B177" s="2" t="s">
        <v>435</v>
      </c>
      <c r="C177" s="2" t="s">
        <v>621</v>
      </c>
      <c r="D177" s="2" t="s">
        <v>46</v>
      </c>
      <c r="E177" s="2" t="s">
        <v>29</v>
      </c>
      <c r="F177" s="2" t="s">
        <v>41</v>
      </c>
      <c r="G177" s="2">
        <v>8</v>
      </c>
      <c r="H177" s="9">
        <v>15000</v>
      </c>
      <c r="I177" s="9">
        <v>120000</v>
      </c>
      <c r="J177" s="21">
        <v>45890</v>
      </c>
      <c r="K177" s="7" t="s">
        <v>1008</v>
      </c>
      <c r="L177" s="2" t="s">
        <v>36</v>
      </c>
      <c r="M177" s="2" t="s">
        <v>27</v>
      </c>
      <c r="U177" s="10"/>
      <c r="V177" s="10"/>
      <c r="W177" s="11"/>
    </row>
    <row r="178" spans="1:23" x14ac:dyDescent="0.35">
      <c r="A178" s="2">
        <v>10064</v>
      </c>
      <c r="B178" s="2" t="s">
        <v>154</v>
      </c>
      <c r="C178" s="2" t="s">
        <v>622</v>
      </c>
      <c r="D178" s="2" t="s">
        <v>117</v>
      </c>
      <c r="E178" s="2" t="s">
        <v>29</v>
      </c>
      <c r="F178" s="2" t="s">
        <v>30</v>
      </c>
      <c r="G178" s="2">
        <v>1</v>
      </c>
      <c r="H178" s="9">
        <v>120000</v>
      </c>
      <c r="I178" s="9">
        <v>120000</v>
      </c>
      <c r="J178" s="21">
        <v>45902</v>
      </c>
      <c r="K178" s="7" t="s">
        <v>1015</v>
      </c>
      <c r="L178" s="2" t="s">
        <v>17</v>
      </c>
      <c r="M178" s="2" t="s">
        <v>27</v>
      </c>
      <c r="U178" s="10"/>
      <c r="V178" s="10"/>
      <c r="W178" s="11"/>
    </row>
    <row r="179" spans="1:23" x14ac:dyDescent="0.35">
      <c r="A179" s="2">
        <v>10000</v>
      </c>
      <c r="B179" s="2" t="s">
        <v>155</v>
      </c>
      <c r="C179" s="2" t="s">
        <v>156</v>
      </c>
      <c r="D179" s="2" t="s">
        <v>86</v>
      </c>
      <c r="E179" s="2" t="s">
        <v>34</v>
      </c>
      <c r="F179" s="2" t="s">
        <v>37</v>
      </c>
      <c r="G179" s="2">
        <v>2</v>
      </c>
      <c r="H179" s="9">
        <v>250000</v>
      </c>
      <c r="I179" s="9">
        <v>500000</v>
      </c>
      <c r="J179" s="20">
        <v>45937</v>
      </c>
      <c r="K179" s="7" t="s">
        <v>1014</v>
      </c>
      <c r="L179" s="2" t="s">
        <v>24</v>
      </c>
      <c r="M179" s="2" t="s">
        <v>27</v>
      </c>
      <c r="U179" s="10"/>
      <c r="V179" s="10"/>
      <c r="W179" s="11"/>
    </row>
    <row r="180" spans="1:23" x14ac:dyDescent="0.35">
      <c r="A180" s="2">
        <v>10238</v>
      </c>
      <c r="B180" s="2" t="s">
        <v>60</v>
      </c>
      <c r="C180" s="2" t="s">
        <v>157</v>
      </c>
      <c r="D180" s="2" t="s">
        <v>117</v>
      </c>
      <c r="E180" s="2" t="s">
        <v>34</v>
      </c>
      <c r="F180" s="2" t="s">
        <v>37</v>
      </c>
      <c r="G180" s="2">
        <v>7</v>
      </c>
      <c r="H180" s="9">
        <v>99000</v>
      </c>
      <c r="I180" s="9">
        <v>693000</v>
      </c>
      <c r="J180" s="21">
        <v>45770</v>
      </c>
      <c r="K180" s="7" t="s">
        <v>1012</v>
      </c>
      <c r="L180" s="2" t="s">
        <v>17</v>
      </c>
      <c r="M180" s="2" t="s">
        <v>14</v>
      </c>
      <c r="U180" s="10"/>
      <c r="V180" s="10"/>
      <c r="W180" s="11"/>
    </row>
    <row r="181" spans="1:23" x14ac:dyDescent="0.35">
      <c r="A181" s="2">
        <v>10479</v>
      </c>
      <c r="B181" s="2" t="s">
        <v>623</v>
      </c>
      <c r="C181" s="2" t="s">
        <v>624</v>
      </c>
      <c r="D181" s="2" t="s">
        <v>33</v>
      </c>
      <c r="E181" s="2" t="s">
        <v>15</v>
      </c>
      <c r="F181" s="2" t="s">
        <v>55</v>
      </c>
      <c r="G181" s="2">
        <v>10</v>
      </c>
      <c r="H181" s="9">
        <v>45000</v>
      </c>
      <c r="I181" s="9">
        <v>450000</v>
      </c>
      <c r="J181" s="21">
        <v>46017</v>
      </c>
      <c r="K181" s="7" t="s">
        <v>1010</v>
      </c>
      <c r="L181" s="2" t="s">
        <v>24</v>
      </c>
      <c r="M181" s="2" t="s">
        <v>31</v>
      </c>
      <c r="U181" s="10"/>
      <c r="V181" s="10"/>
      <c r="W181" s="11"/>
    </row>
    <row r="182" spans="1:23" x14ac:dyDescent="0.35">
      <c r="A182" s="2">
        <v>10305</v>
      </c>
      <c r="B182" s="2" t="s">
        <v>158</v>
      </c>
      <c r="C182" s="2" t="s">
        <v>159</v>
      </c>
      <c r="D182" s="2" t="s">
        <v>86</v>
      </c>
      <c r="E182" s="2" t="s">
        <v>15</v>
      </c>
      <c r="F182" s="2" t="s">
        <v>42</v>
      </c>
      <c r="G182" s="2">
        <v>6</v>
      </c>
      <c r="H182" s="9">
        <v>150000</v>
      </c>
      <c r="I182" s="9">
        <v>900000</v>
      </c>
      <c r="J182" s="21">
        <v>45742</v>
      </c>
      <c r="K182" s="7" t="s">
        <v>1016</v>
      </c>
      <c r="L182" s="2" t="s">
        <v>40</v>
      </c>
      <c r="M182" s="2" t="s">
        <v>31</v>
      </c>
      <c r="U182" s="10"/>
      <c r="V182" s="10"/>
      <c r="W182" s="11"/>
    </row>
    <row r="183" spans="1:23" x14ac:dyDescent="0.35">
      <c r="A183" s="2">
        <v>10313</v>
      </c>
      <c r="B183" s="2" t="s">
        <v>160</v>
      </c>
      <c r="C183" s="2" t="s">
        <v>161</v>
      </c>
      <c r="D183" s="2" t="s">
        <v>66</v>
      </c>
      <c r="E183" s="2" t="s">
        <v>11</v>
      </c>
      <c r="F183" s="2" t="s">
        <v>50</v>
      </c>
      <c r="G183" s="2">
        <v>8</v>
      </c>
      <c r="H183" s="9">
        <v>199000</v>
      </c>
      <c r="I183" s="9">
        <v>1592000</v>
      </c>
      <c r="J183" s="21">
        <v>45956</v>
      </c>
      <c r="K183" s="7" t="s">
        <v>1014</v>
      </c>
      <c r="L183" s="2" t="s">
        <v>24</v>
      </c>
      <c r="M183" s="2" t="s">
        <v>20</v>
      </c>
      <c r="U183" s="10"/>
      <c r="V183" s="10"/>
      <c r="W183" s="11"/>
    </row>
    <row r="184" spans="1:23" x14ac:dyDescent="0.35">
      <c r="A184" s="2">
        <v>10555</v>
      </c>
      <c r="B184" s="2" t="s">
        <v>625</v>
      </c>
      <c r="C184" s="2" t="s">
        <v>626</v>
      </c>
      <c r="D184" s="2" t="s">
        <v>33</v>
      </c>
      <c r="E184" s="2" t="s">
        <v>29</v>
      </c>
      <c r="F184" s="2" t="s">
        <v>41</v>
      </c>
      <c r="G184" s="2">
        <v>8</v>
      </c>
      <c r="H184" s="9">
        <v>250000</v>
      </c>
      <c r="I184" s="9">
        <v>2000000</v>
      </c>
      <c r="J184" s="21">
        <v>45926</v>
      </c>
      <c r="K184" s="7" t="s">
        <v>1015</v>
      </c>
      <c r="L184" s="2" t="s">
        <v>13</v>
      </c>
      <c r="M184" s="2" t="s">
        <v>20</v>
      </c>
      <c r="U184" s="10"/>
      <c r="V184" s="10"/>
      <c r="W184" s="11"/>
    </row>
    <row r="185" spans="1:23" x14ac:dyDescent="0.35">
      <c r="A185" s="2">
        <v>10164</v>
      </c>
      <c r="B185" s="2" t="s">
        <v>627</v>
      </c>
      <c r="C185" s="2" t="s">
        <v>162</v>
      </c>
      <c r="D185" s="2" t="s">
        <v>66</v>
      </c>
      <c r="E185" s="2" t="s">
        <v>29</v>
      </c>
      <c r="F185" s="2" t="s">
        <v>64</v>
      </c>
      <c r="G185" s="2">
        <v>10</v>
      </c>
      <c r="H185" s="9">
        <v>120000</v>
      </c>
      <c r="I185" s="9">
        <v>1200000</v>
      </c>
      <c r="J185" s="21">
        <v>45760</v>
      </c>
      <c r="K185" s="7" t="s">
        <v>1012</v>
      </c>
      <c r="L185" s="2" t="s">
        <v>24</v>
      </c>
      <c r="M185" s="2" t="s">
        <v>14</v>
      </c>
      <c r="U185" s="10"/>
      <c r="V185" s="10"/>
      <c r="W185" s="11"/>
    </row>
    <row r="186" spans="1:23" x14ac:dyDescent="0.35">
      <c r="A186" s="2">
        <v>10114</v>
      </c>
      <c r="B186" s="2" t="s">
        <v>628</v>
      </c>
      <c r="C186" s="2" t="s">
        <v>163</v>
      </c>
      <c r="D186" s="2" t="s">
        <v>82</v>
      </c>
      <c r="E186" s="2" t="s">
        <v>18</v>
      </c>
      <c r="F186" s="2" t="s">
        <v>57</v>
      </c>
      <c r="G186" s="2">
        <v>9</v>
      </c>
      <c r="H186" s="9">
        <v>15000</v>
      </c>
      <c r="I186" s="9">
        <v>135000</v>
      </c>
      <c r="J186" s="21">
        <v>45696</v>
      </c>
      <c r="K186" s="7" t="s">
        <v>1011</v>
      </c>
      <c r="L186" s="2" t="s">
        <v>24</v>
      </c>
      <c r="M186" s="2" t="s">
        <v>14</v>
      </c>
      <c r="U186" s="10"/>
      <c r="V186" s="10"/>
      <c r="W186" s="11"/>
    </row>
    <row r="187" spans="1:23" x14ac:dyDescent="0.35">
      <c r="A187" s="2">
        <v>10184</v>
      </c>
      <c r="B187" s="2" t="s">
        <v>570</v>
      </c>
      <c r="C187" s="2" t="s">
        <v>164</v>
      </c>
      <c r="D187" s="2" t="s">
        <v>23</v>
      </c>
      <c r="E187" s="2" t="s">
        <v>29</v>
      </c>
      <c r="F187" s="2" t="s">
        <v>81</v>
      </c>
      <c r="G187" s="2">
        <v>2</v>
      </c>
      <c r="H187" s="9">
        <v>199000</v>
      </c>
      <c r="I187" s="9">
        <v>398000</v>
      </c>
      <c r="J187" s="21">
        <v>45912</v>
      </c>
      <c r="K187" s="7" t="s">
        <v>1015</v>
      </c>
      <c r="L187" s="2" t="s">
        <v>40</v>
      </c>
      <c r="M187" s="2" t="s">
        <v>31</v>
      </c>
      <c r="U187" s="10"/>
      <c r="V187" s="10"/>
      <c r="W187" s="11"/>
    </row>
    <row r="188" spans="1:23" x14ac:dyDescent="0.35">
      <c r="A188" s="2">
        <v>10581</v>
      </c>
      <c r="B188" s="2" t="s">
        <v>165</v>
      </c>
      <c r="C188" s="2" t="s">
        <v>629</v>
      </c>
      <c r="D188" s="2" t="s">
        <v>23</v>
      </c>
      <c r="E188" s="2" t="s">
        <v>34</v>
      </c>
      <c r="F188" s="2" t="s">
        <v>45</v>
      </c>
      <c r="G188" s="2">
        <v>10</v>
      </c>
      <c r="H188" s="9">
        <v>25000</v>
      </c>
      <c r="I188" s="9">
        <v>250000</v>
      </c>
      <c r="J188" s="21">
        <v>45811</v>
      </c>
      <c r="K188" s="7" t="s">
        <v>1007</v>
      </c>
      <c r="L188" s="2" t="s">
        <v>13</v>
      </c>
      <c r="M188" s="2" t="s">
        <v>27</v>
      </c>
      <c r="U188" s="10"/>
      <c r="V188" s="10"/>
      <c r="W188" s="11"/>
    </row>
    <row r="189" spans="1:23" x14ac:dyDescent="0.35">
      <c r="A189" s="2">
        <v>10110</v>
      </c>
      <c r="B189" s="2" t="s">
        <v>630</v>
      </c>
      <c r="C189" s="2" t="s">
        <v>436</v>
      </c>
      <c r="D189" s="2" t="s">
        <v>59</v>
      </c>
      <c r="E189" s="2" t="s">
        <v>18</v>
      </c>
      <c r="F189" s="2" t="s">
        <v>19</v>
      </c>
      <c r="G189" s="2">
        <v>1</v>
      </c>
      <c r="H189" s="9">
        <v>50000</v>
      </c>
      <c r="I189" s="9">
        <v>50000</v>
      </c>
      <c r="J189" s="21">
        <v>45851</v>
      </c>
      <c r="K189" s="7" t="s">
        <v>1013</v>
      </c>
      <c r="L189" s="2" t="s">
        <v>13</v>
      </c>
      <c r="M189" s="2" t="s">
        <v>27</v>
      </c>
      <c r="U189" s="10"/>
      <c r="V189" s="10"/>
      <c r="W189" s="11"/>
    </row>
    <row r="190" spans="1:23" x14ac:dyDescent="0.35">
      <c r="A190" s="2">
        <v>10528</v>
      </c>
      <c r="B190" s="2" t="s">
        <v>547</v>
      </c>
      <c r="C190" s="2" t="s">
        <v>631</v>
      </c>
      <c r="D190" s="2" t="s">
        <v>82</v>
      </c>
      <c r="E190" s="2" t="s">
        <v>11</v>
      </c>
      <c r="F190" s="2" t="s">
        <v>39</v>
      </c>
      <c r="G190" s="2">
        <v>6</v>
      </c>
      <c r="H190" s="9">
        <v>120000</v>
      </c>
      <c r="I190" s="9">
        <v>720000</v>
      </c>
      <c r="J190" s="21">
        <v>45839</v>
      </c>
      <c r="K190" s="7" t="s">
        <v>1013</v>
      </c>
      <c r="L190" s="2" t="s">
        <v>40</v>
      </c>
      <c r="M190" s="2" t="s">
        <v>20</v>
      </c>
      <c r="U190" s="10"/>
      <c r="V190" s="10"/>
      <c r="W190" s="11"/>
    </row>
    <row r="191" spans="1:23" x14ac:dyDescent="0.35">
      <c r="A191" s="2">
        <v>10002</v>
      </c>
      <c r="B191" s="2" t="s">
        <v>460</v>
      </c>
      <c r="C191" s="2" t="s">
        <v>632</v>
      </c>
      <c r="D191" s="2" t="s">
        <v>59</v>
      </c>
      <c r="E191" s="2" t="s">
        <v>34</v>
      </c>
      <c r="F191" s="2" t="s">
        <v>35</v>
      </c>
      <c r="G191" s="2">
        <v>1</v>
      </c>
      <c r="H191" s="9">
        <v>250000</v>
      </c>
      <c r="I191" s="9">
        <v>250000</v>
      </c>
      <c r="J191" s="21">
        <v>45774</v>
      </c>
      <c r="K191" s="7" t="s">
        <v>1012</v>
      </c>
      <c r="L191" s="2" t="s">
        <v>17</v>
      </c>
      <c r="M191" s="2" t="s">
        <v>14</v>
      </c>
      <c r="U191" s="10"/>
      <c r="V191" s="10"/>
      <c r="W191" s="11"/>
    </row>
    <row r="192" spans="1:23" x14ac:dyDescent="0.35">
      <c r="A192" s="2">
        <v>10254</v>
      </c>
      <c r="B192" s="2" t="s">
        <v>304</v>
      </c>
      <c r="C192" s="2" t="s">
        <v>633</v>
      </c>
      <c r="D192" s="2" t="s">
        <v>117</v>
      </c>
      <c r="E192" s="2" t="s">
        <v>15</v>
      </c>
      <c r="F192" s="2" t="s">
        <v>42</v>
      </c>
      <c r="G192" s="2">
        <v>3</v>
      </c>
      <c r="H192" s="9">
        <v>75000</v>
      </c>
      <c r="I192" s="9">
        <v>225000</v>
      </c>
      <c r="J192" s="21">
        <v>45700</v>
      </c>
      <c r="K192" s="7" t="s">
        <v>1011</v>
      </c>
      <c r="L192" s="2" t="s">
        <v>40</v>
      </c>
      <c r="M192" s="2" t="s">
        <v>27</v>
      </c>
      <c r="U192" s="10"/>
      <c r="V192" s="10"/>
      <c r="W192" s="11"/>
    </row>
    <row r="193" spans="1:23" x14ac:dyDescent="0.35">
      <c r="A193" s="2">
        <v>10393</v>
      </c>
      <c r="B193" s="2" t="s">
        <v>166</v>
      </c>
      <c r="C193" s="2" t="s">
        <v>634</v>
      </c>
      <c r="D193" s="2" t="s">
        <v>86</v>
      </c>
      <c r="E193" s="2" t="s">
        <v>11</v>
      </c>
      <c r="F193" s="2" t="s">
        <v>50</v>
      </c>
      <c r="G193" s="2">
        <v>2</v>
      </c>
      <c r="H193" s="9">
        <v>199000</v>
      </c>
      <c r="I193" s="9">
        <v>398000</v>
      </c>
      <c r="J193" s="21">
        <v>45978</v>
      </c>
      <c r="K193" s="7" t="s">
        <v>1009</v>
      </c>
      <c r="L193" s="2" t="s">
        <v>17</v>
      </c>
      <c r="M193" s="2" t="s">
        <v>31</v>
      </c>
      <c r="U193" s="10"/>
      <c r="V193" s="10"/>
      <c r="W193" s="11"/>
    </row>
    <row r="194" spans="1:23" x14ac:dyDescent="0.35">
      <c r="A194" s="2">
        <v>10357</v>
      </c>
      <c r="B194" s="2" t="s">
        <v>149</v>
      </c>
      <c r="C194" s="2" t="s">
        <v>635</v>
      </c>
      <c r="D194" s="2" t="s">
        <v>33</v>
      </c>
      <c r="E194" s="2" t="s">
        <v>18</v>
      </c>
      <c r="F194" s="2" t="s">
        <v>52</v>
      </c>
      <c r="G194" s="2">
        <v>3</v>
      </c>
      <c r="H194" s="9">
        <v>50000</v>
      </c>
      <c r="I194" s="9">
        <v>150000</v>
      </c>
      <c r="J194" s="21">
        <v>45717</v>
      </c>
      <c r="K194" s="7" t="s">
        <v>1016</v>
      </c>
      <c r="L194" s="2" t="s">
        <v>17</v>
      </c>
      <c r="M194" s="2" t="s">
        <v>14</v>
      </c>
      <c r="U194" s="10"/>
      <c r="V194" s="10"/>
      <c r="W194" s="11"/>
    </row>
    <row r="195" spans="1:23" x14ac:dyDescent="0.35">
      <c r="A195" s="2">
        <v>10153</v>
      </c>
      <c r="B195" s="2" t="s">
        <v>167</v>
      </c>
      <c r="C195" s="2" t="s">
        <v>168</v>
      </c>
      <c r="D195" s="2" t="s">
        <v>23</v>
      </c>
      <c r="E195" s="2" t="s">
        <v>34</v>
      </c>
      <c r="F195" s="2" t="s">
        <v>47</v>
      </c>
      <c r="G195" s="2">
        <v>6</v>
      </c>
      <c r="H195" s="9">
        <v>250000</v>
      </c>
      <c r="I195" s="9">
        <v>1500000</v>
      </c>
      <c r="J195" s="21">
        <v>45980</v>
      </c>
      <c r="K195" s="7" t="s">
        <v>1009</v>
      </c>
      <c r="L195" s="2" t="s">
        <v>24</v>
      </c>
      <c r="M195" s="2" t="s">
        <v>27</v>
      </c>
      <c r="U195" s="10"/>
      <c r="V195" s="10"/>
      <c r="W195" s="11"/>
    </row>
    <row r="196" spans="1:23" x14ac:dyDescent="0.35">
      <c r="A196" s="2">
        <v>10055</v>
      </c>
      <c r="B196" s="2" t="s">
        <v>636</v>
      </c>
      <c r="C196" s="2" t="s">
        <v>169</v>
      </c>
      <c r="D196" s="2" t="s">
        <v>23</v>
      </c>
      <c r="E196" s="2" t="s">
        <v>11</v>
      </c>
      <c r="F196" s="2" t="s">
        <v>50</v>
      </c>
      <c r="G196" s="2">
        <v>10</v>
      </c>
      <c r="H196" s="9">
        <v>15000</v>
      </c>
      <c r="I196" s="9">
        <v>150000</v>
      </c>
      <c r="J196" s="21">
        <v>45799</v>
      </c>
      <c r="K196" s="7" t="s">
        <v>1006</v>
      </c>
      <c r="L196" s="2" t="s">
        <v>36</v>
      </c>
      <c r="M196" s="2" t="s">
        <v>31</v>
      </c>
      <c r="U196" s="10"/>
      <c r="V196" s="10"/>
      <c r="W196" s="11"/>
    </row>
    <row r="197" spans="1:23" x14ac:dyDescent="0.35">
      <c r="A197" s="2">
        <v>10319</v>
      </c>
      <c r="B197" s="2" t="s">
        <v>116</v>
      </c>
      <c r="C197" s="2" t="s">
        <v>170</v>
      </c>
      <c r="D197" s="2" t="s">
        <v>148</v>
      </c>
      <c r="E197" s="2" t="s">
        <v>18</v>
      </c>
      <c r="F197" s="2" t="s">
        <v>70</v>
      </c>
      <c r="G197" s="2">
        <v>3</v>
      </c>
      <c r="H197" s="9">
        <v>35000</v>
      </c>
      <c r="I197" s="9">
        <v>105000</v>
      </c>
      <c r="J197" s="21">
        <v>46020</v>
      </c>
      <c r="K197" s="7" t="s">
        <v>1010</v>
      </c>
      <c r="L197" s="2" t="s">
        <v>36</v>
      </c>
      <c r="M197" s="2" t="s">
        <v>31</v>
      </c>
      <c r="U197" s="10"/>
      <c r="V197" s="10"/>
      <c r="W197" s="11"/>
    </row>
    <row r="198" spans="1:23" x14ac:dyDescent="0.35">
      <c r="A198" s="2">
        <v>10258</v>
      </c>
      <c r="B198" s="2" t="s">
        <v>196</v>
      </c>
      <c r="C198" s="2" t="s">
        <v>171</v>
      </c>
      <c r="D198" s="2" t="s">
        <v>23</v>
      </c>
      <c r="E198" s="2" t="s">
        <v>18</v>
      </c>
      <c r="F198" s="2" t="s">
        <v>70</v>
      </c>
      <c r="G198" s="2">
        <v>1</v>
      </c>
      <c r="H198" s="9">
        <v>120000</v>
      </c>
      <c r="I198" s="9">
        <v>120000</v>
      </c>
      <c r="J198" s="21">
        <v>45700</v>
      </c>
      <c r="K198" s="7" t="s">
        <v>1011</v>
      </c>
      <c r="L198" s="2" t="s">
        <v>24</v>
      </c>
      <c r="M198" s="2" t="s">
        <v>14</v>
      </c>
      <c r="U198" s="10"/>
      <c r="V198" s="10"/>
      <c r="W198" s="11"/>
    </row>
    <row r="199" spans="1:23" x14ac:dyDescent="0.35">
      <c r="A199" s="2">
        <v>10396</v>
      </c>
      <c r="B199" s="2" t="s">
        <v>637</v>
      </c>
      <c r="C199" s="2" t="s">
        <v>172</v>
      </c>
      <c r="D199" s="2" t="s">
        <v>23</v>
      </c>
      <c r="E199" s="2" t="s">
        <v>29</v>
      </c>
      <c r="F199" s="2" t="s">
        <v>41</v>
      </c>
      <c r="G199" s="2">
        <v>1</v>
      </c>
      <c r="H199" s="9">
        <v>45000</v>
      </c>
      <c r="I199" s="9">
        <v>45000</v>
      </c>
      <c r="J199" s="21">
        <v>46011</v>
      </c>
      <c r="K199" s="7" t="s">
        <v>1010</v>
      </c>
      <c r="L199" s="2" t="s">
        <v>40</v>
      </c>
      <c r="M199" s="2" t="s">
        <v>14</v>
      </c>
      <c r="U199" s="10"/>
      <c r="V199" s="10"/>
      <c r="W199" s="11"/>
    </row>
    <row r="200" spans="1:23" x14ac:dyDescent="0.35">
      <c r="A200" s="2">
        <v>10205</v>
      </c>
      <c r="B200" s="2" t="s">
        <v>638</v>
      </c>
      <c r="C200" s="2" t="s">
        <v>436</v>
      </c>
      <c r="D200" s="2" t="s">
        <v>86</v>
      </c>
      <c r="E200" s="2" t="s">
        <v>29</v>
      </c>
      <c r="F200" s="2" t="s">
        <v>67</v>
      </c>
      <c r="G200" s="2">
        <v>10</v>
      </c>
      <c r="H200" s="9">
        <v>15000</v>
      </c>
      <c r="I200" s="9">
        <v>150000</v>
      </c>
      <c r="J200" s="21">
        <v>45910</v>
      </c>
      <c r="K200" s="7" t="s">
        <v>1015</v>
      </c>
      <c r="L200" s="2" t="s">
        <v>40</v>
      </c>
      <c r="M200" s="2" t="s">
        <v>27</v>
      </c>
      <c r="U200" s="10"/>
      <c r="V200" s="10"/>
      <c r="W200" s="11"/>
    </row>
    <row r="201" spans="1:23" x14ac:dyDescent="0.35">
      <c r="A201" s="2">
        <v>10121</v>
      </c>
      <c r="B201" s="2" t="s">
        <v>366</v>
      </c>
      <c r="C201" s="2" t="s">
        <v>639</v>
      </c>
      <c r="D201" s="2" t="s">
        <v>46</v>
      </c>
      <c r="E201" s="2" t="s">
        <v>15</v>
      </c>
      <c r="F201" s="2" t="s">
        <v>16</v>
      </c>
      <c r="G201" s="2">
        <v>5</v>
      </c>
      <c r="H201" s="9">
        <v>99000</v>
      </c>
      <c r="I201" s="9">
        <v>495000</v>
      </c>
      <c r="J201" s="20">
        <v>45856</v>
      </c>
      <c r="K201" s="7" t="s">
        <v>1013</v>
      </c>
      <c r="L201" s="2" t="s">
        <v>24</v>
      </c>
      <c r="M201" s="2" t="s">
        <v>27</v>
      </c>
      <c r="U201" s="10"/>
      <c r="V201" s="10"/>
      <c r="W201" s="11"/>
    </row>
    <row r="202" spans="1:23" x14ac:dyDescent="0.35">
      <c r="A202" s="2">
        <v>10021</v>
      </c>
      <c r="B202" s="2" t="s">
        <v>640</v>
      </c>
      <c r="C202" s="2" t="s">
        <v>641</v>
      </c>
      <c r="D202" s="2" t="s">
        <v>63</v>
      </c>
      <c r="E202" s="2" t="s">
        <v>11</v>
      </c>
      <c r="F202" s="2" t="s">
        <v>61</v>
      </c>
      <c r="G202" s="2">
        <v>4</v>
      </c>
      <c r="H202" s="9">
        <v>99000</v>
      </c>
      <c r="I202" s="9">
        <v>396000</v>
      </c>
      <c r="J202" s="21">
        <v>45954</v>
      </c>
      <c r="K202" s="7" t="s">
        <v>1014</v>
      </c>
      <c r="L202" s="2" t="s">
        <v>13</v>
      </c>
      <c r="M202" s="2" t="s">
        <v>25</v>
      </c>
      <c r="U202" s="10"/>
      <c r="V202" s="10"/>
      <c r="W202" s="11"/>
    </row>
    <row r="203" spans="1:23" x14ac:dyDescent="0.35">
      <c r="A203" s="2">
        <v>10330</v>
      </c>
      <c r="B203" s="2" t="s">
        <v>173</v>
      </c>
      <c r="C203" s="2" t="s">
        <v>174</v>
      </c>
      <c r="D203" s="2" t="s">
        <v>33</v>
      </c>
      <c r="E203" s="2" t="s">
        <v>34</v>
      </c>
      <c r="F203" s="2" t="s">
        <v>37</v>
      </c>
      <c r="G203" s="2">
        <v>4</v>
      </c>
      <c r="H203" s="9">
        <v>50000</v>
      </c>
      <c r="I203" s="9">
        <v>200000</v>
      </c>
      <c r="J203" s="21">
        <v>45722</v>
      </c>
      <c r="K203" s="7" t="s">
        <v>1016</v>
      </c>
      <c r="L203" s="2" t="s">
        <v>36</v>
      </c>
      <c r="M203" s="2" t="s">
        <v>31</v>
      </c>
      <c r="U203" s="10"/>
      <c r="V203" s="10"/>
      <c r="W203" s="11"/>
    </row>
    <row r="204" spans="1:23" x14ac:dyDescent="0.35">
      <c r="A204" s="2">
        <v>10029</v>
      </c>
      <c r="B204" s="2" t="s">
        <v>167</v>
      </c>
      <c r="C204" s="2" t="s">
        <v>175</v>
      </c>
      <c r="D204" s="2" t="s">
        <v>46</v>
      </c>
      <c r="E204" s="2" t="s">
        <v>15</v>
      </c>
      <c r="F204" s="2" t="s">
        <v>49</v>
      </c>
      <c r="G204" s="2">
        <v>4</v>
      </c>
      <c r="H204" s="9">
        <v>25000</v>
      </c>
      <c r="I204" s="9">
        <v>100000</v>
      </c>
      <c r="J204" s="21">
        <v>45961</v>
      </c>
      <c r="K204" s="7" t="s">
        <v>1014</v>
      </c>
      <c r="L204" s="2" t="s">
        <v>36</v>
      </c>
      <c r="M204" s="2" t="s">
        <v>14</v>
      </c>
      <c r="U204" s="10"/>
      <c r="V204" s="10"/>
      <c r="W204" s="11"/>
    </row>
    <row r="205" spans="1:23" x14ac:dyDescent="0.35">
      <c r="A205" s="2">
        <v>10564</v>
      </c>
      <c r="B205" s="2" t="s">
        <v>613</v>
      </c>
      <c r="C205" s="2" t="s">
        <v>642</v>
      </c>
      <c r="D205" s="2" t="s">
        <v>59</v>
      </c>
      <c r="E205" s="2" t="s">
        <v>15</v>
      </c>
      <c r="F205" s="2" t="s">
        <v>55</v>
      </c>
      <c r="G205" s="2">
        <v>2</v>
      </c>
      <c r="H205" s="9">
        <v>75000</v>
      </c>
      <c r="I205" s="9">
        <v>150000</v>
      </c>
      <c r="J205" s="21">
        <v>45677</v>
      </c>
      <c r="K205" s="7" t="s">
        <v>1005</v>
      </c>
      <c r="L205" s="2" t="s">
        <v>40</v>
      </c>
      <c r="M205" s="2" t="s">
        <v>14</v>
      </c>
      <c r="U205" s="10"/>
      <c r="V205" s="10"/>
      <c r="W205" s="11"/>
    </row>
    <row r="206" spans="1:23" x14ac:dyDescent="0.35">
      <c r="A206" s="2">
        <v>10262</v>
      </c>
      <c r="B206" s="2" t="s">
        <v>643</v>
      </c>
      <c r="C206" s="2" t="s">
        <v>644</v>
      </c>
      <c r="D206" s="2" t="s">
        <v>117</v>
      </c>
      <c r="E206" s="2" t="s">
        <v>11</v>
      </c>
      <c r="F206" s="2" t="s">
        <v>71</v>
      </c>
      <c r="G206" s="2">
        <v>5</v>
      </c>
      <c r="H206" s="9">
        <v>35000</v>
      </c>
      <c r="I206" s="9">
        <v>175000</v>
      </c>
      <c r="J206" s="21">
        <v>45842</v>
      </c>
      <c r="K206" s="7" t="s">
        <v>1013</v>
      </c>
      <c r="L206" s="2" t="s">
        <v>24</v>
      </c>
      <c r="M206" s="2" t="s">
        <v>31</v>
      </c>
      <c r="U206" s="10"/>
      <c r="V206" s="10"/>
      <c r="W206" s="11"/>
    </row>
    <row r="207" spans="1:23" x14ac:dyDescent="0.35">
      <c r="A207" s="2">
        <v>10521</v>
      </c>
      <c r="B207" s="2" t="s">
        <v>645</v>
      </c>
      <c r="C207" s="2" t="s">
        <v>176</v>
      </c>
      <c r="D207" s="2" t="s">
        <v>66</v>
      </c>
      <c r="E207" s="2" t="s">
        <v>11</v>
      </c>
      <c r="F207" s="2" t="s">
        <v>71</v>
      </c>
      <c r="G207" s="2">
        <v>10</v>
      </c>
      <c r="H207" s="9">
        <v>15000</v>
      </c>
      <c r="I207" s="9">
        <v>150000</v>
      </c>
      <c r="J207" s="21">
        <v>45878</v>
      </c>
      <c r="K207" s="7" t="s">
        <v>1008</v>
      </c>
      <c r="L207" s="2" t="s">
        <v>36</v>
      </c>
      <c r="M207" s="2" t="s">
        <v>20</v>
      </c>
      <c r="U207" s="10"/>
      <c r="V207" s="10"/>
      <c r="W207" s="11"/>
    </row>
    <row r="208" spans="1:23" x14ac:dyDescent="0.35">
      <c r="A208" s="2">
        <v>10324</v>
      </c>
      <c r="B208" s="2" t="s">
        <v>439</v>
      </c>
      <c r="C208" s="2" t="s">
        <v>646</v>
      </c>
      <c r="D208" s="2" t="s">
        <v>63</v>
      </c>
      <c r="E208" s="2" t="s">
        <v>29</v>
      </c>
      <c r="F208" s="2" t="s">
        <v>41</v>
      </c>
      <c r="G208" s="2">
        <v>7</v>
      </c>
      <c r="H208" s="9">
        <v>25000</v>
      </c>
      <c r="I208" s="9">
        <v>175000</v>
      </c>
      <c r="J208" s="21">
        <v>45748</v>
      </c>
      <c r="K208" s="7" t="s">
        <v>1012</v>
      </c>
      <c r="L208" s="2" t="s">
        <v>40</v>
      </c>
      <c r="M208" s="2" t="s">
        <v>25</v>
      </c>
      <c r="U208" s="10"/>
      <c r="V208" s="10"/>
      <c r="W208" s="11"/>
    </row>
    <row r="209" spans="1:23" x14ac:dyDescent="0.35">
      <c r="A209" s="2">
        <v>10389</v>
      </c>
      <c r="B209" s="2" t="s">
        <v>177</v>
      </c>
      <c r="C209" s="2" t="s">
        <v>178</v>
      </c>
      <c r="D209" s="2" t="s">
        <v>63</v>
      </c>
      <c r="E209" s="2" t="s">
        <v>34</v>
      </c>
      <c r="F209" s="2" t="s">
        <v>45</v>
      </c>
      <c r="G209" s="2">
        <v>9</v>
      </c>
      <c r="H209" s="9">
        <v>35000</v>
      </c>
      <c r="I209" s="9">
        <v>315000</v>
      </c>
      <c r="J209" s="20">
        <v>45783</v>
      </c>
      <c r="K209" s="7" t="s">
        <v>1006</v>
      </c>
      <c r="L209" s="2" t="s">
        <v>13</v>
      </c>
      <c r="M209" s="2" t="s">
        <v>20</v>
      </c>
      <c r="U209" s="10"/>
      <c r="V209" s="10"/>
      <c r="W209" s="11"/>
    </row>
    <row r="210" spans="1:23" x14ac:dyDescent="0.35">
      <c r="A210" s="2">
        <v>10200</v>
      </c>
      <c r="B210" s="2" t="s">
        <v>179</v>
      </c>
      <c r="C210" s="2" t="s">
        <v>180</v>
      </c>
      <c r="D210" s="2" t="s">
        <v>59</v>
      </c>
      <c r="E210" s="2" t="s">
        <v>34</v>
      </c>
      <c r="F210" s="2" t="s">
        <v>77</v>
      </c>
      <c r="G210" s="2">
        <v>10</v>
      </c>
      <c r="H210" s="9">
        <v>45000</v>
      </c>
      <c r="I210" s="9">
        <v>450000</v>
      </c>
      <c r="J210" s="20">
        <v>45678</v>
      </c>
      <c r="K210" s="7" t="s">
        <v>1005</v>
      </c>
      <c r="L210" s="2" t="s">
        <v>17</v>
      </c>
      <c r="M210" s="2" t="s">
        <v>20</v>
      </c>
      <c r="U210" s="10"/>
      <c r="V210" s="10"/>
      <c r="W210" s="11"/>
    </row>
    <row r="211" spans="1:23" x14ac:dyDescent="0.35">
      <c r="A211" s="2">
        <v>10137</v>
      </c>
      <c r="B211" s="2" t="s">
        <v>184</v>
      </c>
      <c r="C211" s="2" t="s">
        <v>436</v>
      </c>
      <c r="D211" s="2" t="s">
        <v>66</v>
      </c>
      <c r="E211" s="2" t="s">
        <v>29</v>
      </c>
      <c r="F211" s="2" t="s">
        <v>30</v>
      </c>
      <c r="G211" s="2">
        <v>1</v>
      </c>
      <c r="H211" s="9">
        <v>25000</v>
      </c>
      <c r="I211" s="9">
        <v>25000</v>
      </c>
      <c r="J211" s="20">
        <v>45738</v>
      </c>
      <c r="K211" s="7" t="s">
        <v>1016</v>
      </c>
      <c r="L211" s="2" t="s">
        <v>40</v>
      </c>
      <c r="M211" s="2" t="s">
        <v>20</v>
      </c>
      <c r="U211" s="10"/>
      <c r="V211" s="10"/>
      <c r="W211" s="11"/>
    </row>
    <row r="212" spans="1:23" x14ac:dyDescent="0.35">
      <c r="A212" s="2">
        <v>10025</v>
      </c>
      <c r="B212" s="2" t="s">
        <v>647</v>
      </c>
      <c r="C212" s="2" t="s">
        <v>436</v>
      </c>
      <c r="D212" s="2" t="s">
        <v>66</v>
      </c>
      <c r="E212" s="2" t="s">
        <v>15</v>
      </c>
      <c r="F212" s="2" t="s">
        <v>49</v>
      </c>
      <c r="G212" s="2">
        <v>10</v>
      </c>
      <c r="H212" s="9">
        <v>15000</v>
      </c>
      <c r="I212" s="9">
        <v>150000</v>
      </c>
      <c r="J212" s="21">
        <v>45952</v>
      </c>
      <c r="K212" s="7" t="s">
        <v>1014</v>
      </c>
      <c r="L212" s="2" t="s">
        <v>40</v>
      </c>
      <c r="M212" s="2" t="s">
        <v>20</v>
      </c>
      <c r="U212" s="10"/>
      <c r="V212" s="10"/>
      <c r="W212" s="11"/>
    </row>
    <row r="213" spans="1:23" x14ac:dyDescent="0.35">
      <c r="A213" s="2">
        <v>10118</v>
      </c>
      <c r="B213" s="2" t="s">
        <v>181</v>
      </c>
      <c r="C213" s="2" t="s">
        <v>648</v>
      </c>
      <c r="D213" s="2" t="s">
        <v>86</v>
      </c>
      <c r="E213" s="2" t="s">
        <v>18</v>
      </c>
      <c r="F213" s="2" t="s">
        <v>19</v>
      </c>
      <c r="G213" s="2">
        <v>10</v>
      </c>
      <c r="H213" s="9">
        <v>99000</v>
      </c>
      <c r="I213" s="9">
        <v>990000</v>
      </c>
      <c r="J213" s="21">
        <v>46004</v>
      </c>
      <c r="K213" s="7" t="s">
        <v>1010</v>
      </c>
      <c r="L213" s="2" t="s">
        <v>13</v>
      </c>
      <c r="M213" s="2" t="s">
        <v>25</v>
      </c>
      <c r="U213" s="10"/>
      <c r="V213" s="10"/>
      <c r="W213" s="11"/>
    </row>
    <row r="214" spans="1:23" x14ac:dyDescent="0.35">
      <c r="A214" s="2">
        <v>10439</v>
      </c>
      <c r="B214" s="2" t="s">
        <v>623</v>
      </c>
      <c r="C214" s="2" t="s">
        <v>649</v>
      </c>
      <c r="D214" s="2" t="s">
        <v>23</v>
      </c>
      <c r="E214" s="2" t="s">
        <v>29</v>
      </c>
      <c r="F214" s="2" t="s">
        <v>81</v>
      </c>
      <c r="G214" s="2">
        <v>7</v>
      </c>
      <c r="H214" s="9">
        <v>15000</v>
      </c>
      <c r="I214" s="9">
        <v>105000</v>
      </c>
      <c r="J214" s="21">
        <v>45740</v>
      </c>
      <c r="K214" s="7" t="s">
        <v>1016</v>
      </c>
      <c r="L214" s="2" t="s">
        <v>17</v>
      </c>
      <c r="M214" s="2" t="s">
        <v>20</v>
      </c>
      <c r="U214" s="10"/>
      <c r="V214" s="10"/>
      <c r="W214" s="11"/>
    </row>
    <row r="215" spans="1:23" x14ac:dyDescent="0.35">
      <c r="A215" s="2">
        <v>10183</v>
      </c>
      <c r="B215" s="2" t="s">
        <v>650</v>
      </c>
      <c r="C215" s="2" t="s">
        <v>651</v>
      </c>
      <c r="D215" s="2" t="s">
        <v>33</v>
      </c>
      <c r="E215" s="2" t="s">
        <v>18</v>
      </c>
      <c r="F215" s="2" t="s">
        <v>57</v>
      </c>
      <c r="G215" s="2">
        <v>5</v>
      </c>
      <c r="H215" s="9">
        <v>25000</v>
      </c>
      <c r="I215" s="9">
        <v>125000</v>
      </c>
      <c r="J215" s="21">
        <v>45712</v>
      </c>
      <c r="K215" s="7" t="s">
        <v>1011</v>
      </c>
      <c r="L215" s="2" t="s">
        <v>40</v>
      </c>
      <c r="M215" s="2" t="s">
        <v>31</v>
      </c>
      <c r="U215" s="10"/>
      <c r="V215" s="10"/>
      <c r="W215" s="11"/>
    </row>
    <row r="216" spans="1:23" x14ac:dyDescent="0.35">
      <c r="A216" s="2">
        <v>10314</v>
      </c>
      <c r="B216" s="2" t="s">
        <v>652</v>
      </c>
      <c r="C216" s="2" t="s">
        <v>653</v>
      </c>
      <c r="D216" s="2" t="s">
        <v>46</v>
      </c>
      <c r="E216" s="2" t="s">
        <v>18</v>
      </c>
      <c r="F216" s="2" t="s">
        <v>19</v>
      </c>
      <c r="G216" s="2">
        <v>2</v>
      </c>
      <c r="H216" s="9">
        <v>199000</v>
      </c>
      <c r="I216" s="9">
        <v>398000</v>
      </c>
      <c r="J216" s="21">
        <v>45829</v>
      </c>
      <c r="K216" s="7" t="s">
        <v>1007</v>
      </c>
      <c r="L216" s="2" t="s">
        <v>24</v>
      </c>
      <c r="M216" s="2" t="s">
        <v>27</v>
      </c>
      <c r="U216" s="10"/>
      <c r="V216" s="10"/>
      <c r="W216" s="11"/>
    </row>
    <row r="217" spans="1:23" x14ac:dyDescent="0.35">
      <c r="A217" s="2">
        <v>10242</v>
      </c>
      <c r="B217" s="2" t="s">
        <v>654</v>
      </c>
      <c r="C217" s="2" t="s">
        <v>182</v>
      </c>
      <c r="D217" s="2" t="s">
        <v>59</v>
      </c>
      <c r="E217" s="2" t="s">
        <v>34</v>
      </c>
      <c r="F217" s="2" t="s">
        <v>35</v>
      </c>
      <c r="G217" s="2">
        <v>4</v>
      </c>
      <c r="H217" s="9">
        <v>250000</v>
      </c>
      <c r="I217" s="9">
        <v>1000000</v>
      </c>
      <c r="J217" s="21">
        <v>45880</v>
      </c>
      <c r="K217" s="7" t="s">
        <v>1008</v>
      </c>
      <c r="L217" s="2" t="s">
        <v>17</v>
      </c>
      <c r="M217" s="2" t="s">
        <v>14</v>
      </c>
      <c r="U217" s="10"/>
      <c r="V217" s="10"/>
      <c r="W217" s="11"/>
    </row>
    <row r="218" spans="1:23" x14ac:dyDescent="0.35">
      <c r="A218" s="2">
        <v>10437</v>
      </c>
      <c r="B218" s="2" t="s">
        <v>500</v>
      </c>
      <c r="C218" s="2" t="s">
        <v>655</v>
      </c>
      <c r="D218" s="2" t="s">
        <v>59</v>
      </c>
      <c r="E218" s="2" t="s">
        <v>18</v>
      </c>
      <c r="F218" s="2" t="s">
        <v>52</v>
      </c>
      <c r="G218" s="2">
        <v>9</v>
      </c>
      <c r="H218" s="9">
        <v>99000</v>
      </c>
      <c r="I218" s="9">
        <v>891000</v>
      </c>
      <c r="J218" s="21">
        <v>45996</v>
      </c>
      <c r="K218" s="7" t="s">
        <v>1010</v>
      </c>
      <c r="L218" s="2" t="s">
        <v>36</v>
      </c>
      <c r="M218" s="2" t="s">
        <v>14</v>
      </c>
      <c r="U218" s="10"/>
      <c r="V218" s="10"/>
      <c r="W218" s="11"/>
    </row>
    <row r="219" spans="1:23" x14ac:dyDescent="0.35">
      <c r="A219" s="2">
        <v>10368</v>
      </c>
      <c r="B219" s="2" t="s">
        <v>303</v>
      </c>
      <c r="C219" s="2" t="s">
        <v>183</v>
      </c>
      <c r="D219" s="2" t="s">
        <v>82</v>
      </c>
      <c r="E219" s="2" t="s">
        <v>29</v>
      </c>
      <c r="F219" s="2" t="s">
        <v>30</v>
      </c>
      <c r="G219" s="2">
        <v>10</v>
      </c>
      <c r="H219" s="9">
        <v>45000</v>
      </c>
      <c r="I219" s="9">
        <v>450000</v>
      </c>
      <c r="J219" s="21">
        <v>45761</v>
      </c>
      <c r="K219" s="7" t="s">
        <v>1012</v>
      </c>
      <c r="L219" s="2" t="s">
        <v>17</v>
      </c>
      <c r="M219" s="2" t="s">
        <v>27</v>
      </c>
      <c r="U219" s="10"/>
      <c r="V219" s="10"/>
      <c r="W219" s="11"/>
    </row>
    <row r="220" spans="1:23" x14ac:dyDescent="0.35">
      <c r="A220" s="2">
        <v>10579</v>
      </c>
      <c r="B220" s="2" t="s">
        <v>184</v>
      </c>
      <c r="C220" s="2" t="s">
        <v>436</v>
      </c>
      <c r="D220" s="2" t="s">
        <v>66</v>
      </c>
      <c r="E220" s="2" t="s">
        <v>34</v>
      </c>
      <c r="F220" s="2" t="s">
        <v>37</v>
      </c>
      <c r="G220" s="2">
        <v>2</v>
      </c>
      <c r="H220" s="9">
        <v>150000</v>
      </c>
      <c r="I220" s="9">
        <v>300000</v>
      </c>
      <c r="J220" s="20">
        <v>45892</v>
      </c>
      <c r="K220" s="7" t="s">
        <v>1008</v>
      </c>
      <c r="L220" s="2" t="s">
        <v>17</v>
      </c>
      <c r="M220" s="2" t="s">
        <v>14</v>
      </c>
      <c r="U220" s="10"/>
      <c r="V220" s="10"/>
      <c r="W220" s="11"/>
    </row>
    <row r="221" spans="1:23" x14ac:dyDescent="0.35">
      <c r="A221" s="2">
        <v>10077</v>
      </c>
      <c r="B221" s="2" t="s">
        <v>523</v>
      </c>
      <c r="C221" s="2" t="s">
        <v>656</v>
      </c>
      <c r="D221" s="2" t="s">
        <v>117</v>
      </c>
      <c r="E221" s="2" t="s">
        <v>18</v>
      </c>
      <c r="F221" s="2" t="s">
        <v>70</v>
      </c>
      <c r="G221" s="2">
        <v>4</v>
      </c>
      <c r="H221" s="9">
        <v>199000</v>
      </c>
      <c r="I221" s="9">
        <v>796000</v>
      </c>
      <c r="J221" s="21">
        <v>45696</v>
      </c>
      <c r="K221" s="7" t="s">
        <v>1011</v>
      </c>
      <c r="L221" s="2" t="s">
        <v>36</v>
      </c>
      <c r="M221" s="2" t="s">
        <v>14</v>
      </c>
      <c r="U221" s="10"/>
      <c r="V221" s="10"/>
      <c r="W221" s="11"/>
    </row>
    <row r="222" spans="1:23" x14ac:dyDescent="0.35">
      <c r="A222" s="2">
        <v>10565</v>
      </c>
      <c r="B222" s="2" t="s">
        <v>355</v>
      </c>
      <c r="C222" s="2" t="s">
        <v>185</v>
      </c>
      <c r="D222" s="2" t="s">
        <v>82</v>
      </c>
      <c r="E222" s="2" t="s">
        <v>15</v>
      </c>
      <c r="F222" s="2" t="s">
        <v>42</v>
      </c>
      <c r="G222" s="2">
        <v>8</v>
      </c>
      <c r="H222" s="9">
        <v>50000</v>
      </c>
      <c r="I222" s="9">
        <v>400000</v>
      </c>
      <c r="J222" s="20">
        <v>45725</v>
      </c>
      <c r="K222" s="7" t="s">
        <v>1016</v>
      </c>
      <c r="L222" s="2" t="s">
        <v>36</v>
      </c>
      <c r="M222" s="2" t="s">
        <v>14</v>
      </c>
      <c r="U222" s="10"/>
      <c r="V222" s="10"/>
      <c r="W222" s="11"/>
    </row>
    <row r="223" spans="1:23" x14ac:dyDescent="0.35">
      <c r="A223" s="2">
        <v>10592</v>
      </c>
      <c r="B223" s="2" t="s">
        <v>186</v>
      </c>
      <c r="C223" s="2" t="s">
        <v>657</v>
      </c>
      <c r="D223" s="2" t="s">
        <v>33</v>
      </c>
      <c r="E223" s="2" t="s">
        <v>34</v>
      </c>
      <c r="F223" s="2" t="s">
        <v>47</v>
      </c>
      <c r="G223" s="2">
        <v>3</v>
      </c>
      <c r="H223" s="9">
        <v>120000</v>
      </c>
      <c r="I223" s="9">
        <v>360000</v>
      </c>
      <c r="J223" s="21">
        <v>45958</v>
      </c>
      <c r="K223" s="7" t="s">
        <v>1014</v>
      </c>
      <c r="L223" s="2" t="s">
        <v>17</v>
      </c>
      <c r="M223" s="2" t="s">
        <v>25</v>
      </c>
      <c r="U223" s="10"/>
      <c r="V223" s="10"/>
      <c r="W223" s="11"/>
    </row>
    <row r="224" spans="1:23" x14ac:dyDescent="0.35">
      <c r="A224" s="2">
        <v>10300</v>
      </c>
      <c r="B224" s="2" t="s">
        <v>109</v>
      </c>
      <c r="C224" s="2" t="s">
        <v>658</v>
      </c>
      <c r="D224" s="2" t="s">
        <v>86</v>
      </c>
      <c r="E224" s="2" t="s">
        <v>11</v>
      </c>
      <c r="F224" s="2" t="s">
        <v>71</v>
      </c>
      <c r="G224" s="2">
        <v>10</v>
      </c>
      <c r="H224" s="9">
        <v>15000</v>
      </c>
      <c r="I224" s="9">
        <v>150000</v>
      </c>
      <c r="J224" s="21">
        <v>45921</v>
      </c>
      <c r="K224" s="7" t="s">
        <v>1015</v>
      </c>
      <c r="L224" s="2" t="s">
        <v>40</v>
      </c>
      <c r="M224" s="2" t="s">
        <v>20</v>
      </c>
      <c r="U224" s="10"/>
      <c r="V224" s="10"/>
      <c r="W224" s="11"/>
    </row>
    <row r="225" spans="1:23" x14ac:dyDescent="0.35">
      <c r="A225" s="2">
        <v>10553</v>
      </c>
      <c r="B225" s="2" t="s">
        <v>510</v>
      </c>
      <c r="C225" s="2" t="s">
        <v>187</v>
      </c>
      <c r="D225" s="2" t="s">
        <v>23</v>
      </c>
      <c r="E225" s="2" t="s">
        <v>18</v>
      </c>
      <c r="F225" s="2" t="s">
        <v>70</v>
      </c>
      <c r="G225" s="2">
        <v>7</v>
      </c>
      <c r="H225" s="9">
        <v>25000</v>
      </c>
      <c r="I225" s="9">
        <v>175000</v>
      </c>
      <c r="J225" s="21">
        <v>45986</v>
      </c>
      <c r="K225" s="7" t="s">
        <v>1009</v>
      </c>
      <c r="L225" s="2" t="s">
        <v>40</v>
      </c>
      <c r="M225" s="2" t="s">
        <v>25</v>
      </c>
      <c r="U225" s="10"/>
      <c r="V225" s="10"/>
      <c r="W225" s="11"/>
    </row>
    <row r="226" spans="1:23" x14ac:dyDescent="0.35">
      <c r="A226" s="2">
        <v>10362</v>
      </c>
      <c r="B226" s="2" t="s">
        <v>89</v>
      </c>
      <c r="C226" s="2" t="s">
        <v>659</v>
      </c>
      <c r="D226" s="2" t="s">
        <v>117</v>
      </c>
      <c r="E226" s="2" t="s">
        <v>11</v>
      </c>
      <c r="F226" s="2" t="s">
        <v>50</v>
      </c>
      <c r="G226" s="2">
        <v>2</v>
      </c>
      <c r="H226" s="9">
        <v>50000</v>
      </c>
      <c r="I226" s="9">
        <v>100000</v>
      </c>
      <c r="J226" s="21">
        <v>45909</v>
      </c>
      <c r="K226" s="7" t="s">
        <v>1015</v>
      </c>
      <c r="L226" s="2" t="s">
        <v>40</v>
      </c>
      <c r="M226" s="2" t="s">
        <v>25</v>
      </c>
      <c r="U226" s="10"/>
      <c r="V226" s="10"/>
      <c r="W226" s="11"/>
    </row>
    <row r="227" spans="1:23" x14ac:dyDescent="0.35">
      <c r="A227" s="2">
        <v>10048</v>
      </c>
      <c r="B227" s="2" t="s">
        <v>94</v>
      </c>
      <c r="C227" s="2" t="s">
        <v>660</v>
      </c>
      <c r="D227" s="2" t="s">
        <v>117</v>
      </c>
      <c r="E227" s="2" t="s">
        <v>34</v>
      </c>
      <c r="F227" s="2" t="s">
        <v>47</v>
      </c>
      <c r="G227" s="2">
        <v>10</v>
      </c>
      <c r="H227" s="9">
        <v>35000</v>
      </c>
      <c r="I227" s="9">
        <v>350000</v>
      </c>
      <c r="J227" s="21">
        <v>45776</v>
      </c>
      <c r="K227" s="7" t="s">
        <v>1012</v>
      </c>
      <c r="L227" s="2" t="s">
        <v>40</v>
      </c>
      <c r="M227" s="2" t="s">
        <v>25</v>
      </c>
      <c r="U227" s="10"/>
      <c r="V227" s="10"/>
      <c r="W227" s="11"/>
    </row>
    <row r="228" spans="1:23" x14ac:dyDescent="0.35">
      <c r="A228" s="2">
        <v>10539</v>
      </c>
      <c r="B228" s="2" t="s">
        <v>188</v>
      </c>
      <c r="C228" s="2" t="s">
        <v>661</v>
      </c>
      <c r="D228" s="2" t="s">
        <v>82</v>
      </c>
      <c r="E228" s="2" t="s">
        <v>15</v>
      </c>
      <c r="F228" s="2" t="s">
        <v>16</v>
      </c>
      <c r="G228" s="2">
        <v>10</v>
      </c>
      <c r="H228" s="9">
        <v>25000</v>
      </c>
      <c r="I228" s="9">
        <v>250000</v>
      </c>
      <c r="J228" s="20">
        <v>45723</v>
      </c>
      <c r="K228" s="7" t="s">
        <v>1016</v>
      </c>
      <c r="L228" s="2" t="s">
        <v>13</v>
      </c>
      <c r="M228" s="2" t="s">
        <v>25</v>
      </c>
      <c r="U228" s="10"/>
      <c r="V228" s="10"/>
      <c r="W228" s="11"/>
    </row>
    <row r="229" spans="1:23" x14ac:dyDescent="0.35">
      <c r="A229" s="2">
        <v>10491</v>
      </c>
      <c r="B229" s="2" t="s">
        <v>158</v>
      </c>
      <c r="C229" s="2" t="s">
        <v>662</v>
      </c>
      <c r="D229" s="2" t="s">
        <v>59</v>
      </c>
      <c r="E229" s="2" t="s">
        <v>15</v>
      </c>
      <c r="F229" s="2" t="s">
        <v>42</v>
      </c>
      <c r="G229" s="2">
        <v>8</v>
      </c>
      <c r="H229" s="9">
        <v>25000</v>
      </c>
      <c r="I229" s="9">
        <v>200000</v>
      </c>
      <c r="J229" s="20">
        <v>45800</v>
      </c>
      <c r="K229" s="7" t="s">
        <v>1006</v>
      </c>
      <c r="L229" s="2" t="s">
        <v>40</v>
      </c>
      <c r="M229" s="2" t="s">
        <v>14</v>
      </c>
      <c r="U229" s="10"/>
      <c r="V229" s="10"/>
      <c r="W229" s="11"/>
    </row>
    <row r="230" spans="1:23" x14ac:dyDescent="0.35">
      <c r="A230" s="2">
        <v>10141</v>
      </c>
      <c r="B230" s="2" t="s">
        <v>630</v>
      </c>
      <c r="C230" s="2" t="s">
        <v>663</v>
      </c>
      <c r="D230" s="2" t="s">
        <v>63</v>
      </c>
      <c r="E230" s="2" t="s">
        <v>18</v>
      </c>
      <c r="F230" s="2" t="s">
        <v>26</v>
      </c>
      <c r="G230" s="2">
        <v>5</v>
      </c>
      <c r="H230" s="9">
        <v>15000</v>
      </c>
      <c r="I230" s="9">
        <v>75000</v>
      </c>
      <c r="J230" s="20">
        <v>45995</v>
      </c>
      <c r="K230" s="7" t="s">
        <v>1010</v>
      </c>
      <c r="L230" s="2" t="s">
        <v>17</v>
      </c>
      <c r="M230" s="2" t="s">
        <v>31</v>
      </c>
      <c r="U230" s="10"/>
      <c r="V230" s="10"/>
      <c r="W230" s="11"/>
    </row>
    <row r="231" spans="1:23" x14ac:dyDescent="0.35">
      <c r="A231" s="2">
        <v>10068</v>
      </c>
      <c r="B231" s="2" t="s">
        <v>254</v>
      </c>
      <c r="C231" s="2" t="s">
        <v>189</v>
      </c>
      <c r="D231" s="2" t="s">
        <v>46</v>
      </c>
      <c r="E231" s="2" t="s">
        <v>15</v>
      </c>
      <c r="F231" s="2" t="s">
        <v>49</v>
      </c>
      <c r="G231" s="2">
        <v>10</v>
      </c>
      <c r="H231" s="9">
        <v>150000</v>
      </c>
      <c r="I231" s="9">
        <v>1500000</v>
      </c>
      <c r="J231" s="21">
        <v>45679</v>
      </c>
      <c r="K231" s="7" t="s">
        <v>1005</v>
      </c>
      <c r="L231" s="2" t="s">
        <v>40</v>
      </c>
      <c r="M231" s="2" t="s">
        <v>27</v>
      </c>
      <c r="U231" s="10"/>
      <c r="V231" s="10"/>
      <c r="W231" s="11"/>
    </row>
    <row r="232" spans="1:23" x14ac:dyDescent="0.35">
      <c r="A232" s="2">
        <v>10453</v>
      </c>
      <c r="B232" s="2" t="s">
        <v>190</v>
      </c>
      <c r="C232" s="2" t="s">
        <v>664</v>
      </c>
      <c r="D232" s="2" t="s">
        <v>33</v>
      </c>
      <c r="E232" s="2" t="s">
        <v>18</v>
      </c>
      <c r="F232" s="2" t="s">
        <v>70</v>
      </c>
      <c r="G232" s="2">
        <v>10</v>
      </c>
      <c r="H232" s="9">
        <v>120000</v>
      </c>
      <c r="I232" s="9">
        <v>1200000</v>
      </c>
      <c r="J232" s="21">
        <v>45706</v>
      </c>
      <c r="K232" s="7" t="s">
        <v>1011</v>
      </c>
      <c r="L232" s="2" t="s">
        <v>13</v>
      </c>
      <c r="M232" s="2" t="s">
        <v>25</v>
      </c>
      <c r="U232" s="10"/>
      <c r="V232" s="10"/>
      <c r="W232" s="11"/>
    </row>
    <row r="233" spans="1:23" x14ac:dyDescent="0.35">
      <c r="A233" s="2">
        <v>10010</v>
      </c>
      <c r="B233" s="2" t="s">
        <v>424</v>
      </c>
      <c r="C233" s="2" t="s">
        <v>191</v>
      </c>
      <c r="D233" s="2" t="s">
        <v>66</v>
      </c>
      <c r="E233" s="2" t="s">
        <v>29</v>
      </c>
      <c r="F233" s="2" t="s">
        <v>81</v>
      </c>
      <c r="G233" s="2">
        <v>7</v>
      </c>
      <c r="H233" s="9">
        <v>75000</v>
      </c>
      <c r="I233" s="9">
        <v>525000</v>
      </c>
      <c r="J233" s="21">
        <v>45713</v>
      </c>
      <c r="K233" s="7" t="s">
        <v>1011</v>
      </c>
      <c r="L233" s="2" t="s">
        <v>36</v>
      </c>
      <c r="M233" s="2" t="s">
        <v>31</v>
      </c>
      <c r="U233" s="10"/>
      <c r="V233" s="10"/>
      <c r="W233" s="11"/>
    </row>
    <row r="234" spans="1:23" x14ac:dyDescent="0.35">
      <c r="A234" s="2">
        <v>10045</v>
      </c>
      <c r="B234" s="2" t="s">
        <v>587</v>
      </c>
      <c r="C234" s="2" t="s">
        <v>192</v>
      </c>
      <c r="D234" s="2" t="s">
        <v>59</v>
      </c>
      <c r="E234" s="2" t="s">
        <v>34</v>
      </c>
      <c r="F234" s="2" t="s">
        <v>77</v>
      </c>
      <c r="G234" s="2">
        <v>7</v>
      </c>
      <c r="H234" s="9">
        <v>45000</v>
      </c>
      <c r="I234" s="9">
        <v>315000</v>
      </c>
      <c r="J234" s="20">
        <v>45868</v>
      </c>
      <c r="K234" s="7" t="s">
        <v>1013</v>
      </c>
      <c r="L234" s="2" t="s">
        <v>24</v>
      </c>
      <c r="M234" s="2" t="s">
        <v>25</v>
      </c>
      <c r="U234" s="10"/>
      <c r="V234" s="10"/>
      <c r="W234" s="11"/>
    </row>
    <row r="235" spans="1:23" x14ac:dyDescent="0.35">
      <c r="A235" s="2">
        <v>10304</v>
      </c>
      <c r="B235" s="2" t="s">
        <v>116</v>
      </c>
      <c r="C235" s="2" t="s">
        <v>193</v>
      </c>
      <c r="D235" s="2" t="s">
        <v>33</v>
      </c>
      <c r="E235" s="2" t="s">
        <v>29</v>
      </c>
      <c r="F235" s="2" t="s">
        <v>30</v>
      </c>
      <c r="G235" s="32">
        <v>10</v>
      </c>
      <c r="H235" s="9">
        <v>199000</v>
      </c>
      <c r="I235" s="9">
        <f>G235*H235</f>
        <v>1990000</v>
      </c>
      <c r="J235" s="21">
        <v>45770</v>
      </c>
      <c r="K235" s="7" t="s">
        <v>1012</v>
      </c>
      <c r="L235" s="2" t="s">
        <v>24</v>
      </c>
      <c r="M235" s="2" t="s">
        <v>31</v>
      </c>
      <c r="U235" s="10"/>
      <c r="V235" s="10"/>
      <c r="W235" s="11"/>
    </row>
    <row r="236" spans="1:23" x14ac:dyDescent="0.35">
      <c r="A236" s="2">
        <v>10286</v>
      </c>
      <c r="B236" s="2" t="s">
        <v>194</v>
      </c>
      <c r="C236" s="2" t="s">
        <v>665</v>
      </c>
      <c r="D236" s="2" t="s">
        <v>23</v>
      </c>
      <c r="E236" s="2" t="s">
        <v>18</v>
      </c>
      <c r="F236" s="2" t="s">
        <v>52</v>
      </c>
      <c r="G236" s="2">
        <v>6</v>
      </c>
      <c r="H236" s="9">
        <v>99000</v>
      </c>
      <c r="I236" s="9">
        <v>594000</v>
      </c>
      <c r="J236" s="21">
        <v>45865</v>
      </c>
      <c r="K236" s="7" t="s">
        <v>1013</v>
      </c>
      <c r="L236" s="2" t="s">
        <v>40</v>
      </c>
      <c r="M236" s="2" t="s">
        <v>20</v>
      </c>
      <c r="U236" s="10"/>
      <c r="V236" s="10"/>
      <c r="W236" s="11"/>
    </row>
    <row r="237" spans="1:23" x14ac:dyDescent="0.35">
      <c r="A237" s="2">
        <v>10058</v>
      </c>
      <c r="B237" s="2" t="s">
        <v>666</v>
      </c>
      <c r="C237" s="2" t="s">
        <v>195</v>
      </c>
      <c r="D237" s="2" t="s">
        <v>23</v>
      </c>
      <c r="E237" s="2" t="s">
        <v>15</v>
      </c>
      <c r="F237" s="2" t="s">
        <v>42</v>
      </c>
      <c r="G237" s="2">
        <v>7</v>
      </c>
      <c r="H237" s="9">
        <v>75000</v>
      </c>
      <c r="I237" s="9">
        <v>525000</v>
      </c>
      <c r="J237" s="21">
        <v>45890</v>
      </c>
      <c r="K237" s="7" t="s">
        <v>1008</v>
      </c>
      <c r="L237" s="2" t="s">
        <v>40</v>
      </c>
      <c r="M237" s="2" t="s">
        <v>20</v>
      </c>
      <c r="U237" s="10"/>
      <c r="V237" s="10"/>
      <c r="W237" s="11"/>
    </row>
    <row r="238" spans="1:23" x14ac:dyDescent="0.35">
      <c r="A238" s="2">
        <v>10574</v>
      </c>
      <c r="B238" s="2" t="s">
        <v>448</v>
      </c>
      <c r="C238" s="2" t="s">
        <v>667</v>
      </c>
      <c r="D238" s="2" t="s">
        <v>23</v>
      </c>
      <c r="E238" s="2" t="s">
        <v>11</v>
      </c>
      <c r="F238" s="2" t="s">
        <v>71</v>
      </c>
      <c r="G238" s="2">
        <v>10</v>
      </c>
      <c r="H238" s="9">
        <v>25000</v>
      </c>
      <c r="I238" s="9">
        <v>250000</v>
      </c>
      <c r="J238" s="21">
        <v>45987</v>
      </c>
      <c r="K238" s="7" t="s">
        <v>1009</v>
      </c>
      <c r="L238" s="2" t="s">
        <v>17</v>
      </c>
      <c r="M238" s="2" t="s">
        <v>25</v>
      </c>
      <c r="U238" s="10"/>
      <c r="V238" s="10"/>
      <c r="W238" s="11"/>
    </row>
    <row r="239" spans="1:23" x14ac:dyDescent="0.35">
      <c r="A239" s="2">
        <v>10440</v>
      </c>
      <c r="B239" s="2" t="s">
        <v>668</v>
      </c>
      <c r="C239" s="2" t="s">
        <v>669</v>
      </c>
      <c r="D239" s="2" t="s">
        <v>117</v>
      </c>
      <c r="E239" s="2" t="s">
        <v>15</v>
      </c>
      <c r="F239" s="2" t="s">
        <v>55</v>
      </c>
      <c r="G239" s="2">
        <v>7</v>
      </c>
      <c r="H239" s="9">
        <v>45000</v>
      </c>
      <c r="I239" s="9">
        <v>315000</v>
      </c>
      <c r="J239" s="21">
        <v>45772</v>
      </c>
      <c r="K239" s="7" t="s">
        <v>1012</v>
      </c>
      <c r="L239" s="2" t="s">
        <v>17</v>
      </c>
      <c r="M239" s="2" t="s">
        <v>14</v>
      </c>
      <c r="U239" s="10"/>
      <c r="V239" s="10"/>
      <c r="W239" s="11"/>
    </row>
    <row r="240" spans="1:23" x14ac:dyDescent="0.35">
      <c r="A240" s="2">
        <v>10465</v>
      </c>
      <c r="B240" s="2" t="s">
        <v>196</v>
      </c>
      <c r="C240" s="2" t="s">
        <v>670</v>
      </c>
      <c r="D240" s="2" t="s">
        <v>66</v>
      </c>
      <c r="E240" s="2" t="s">
        <v>11</v>
      </c>
      <c r="F240" s="2" t="s">
        <v>50</v>
      </c>
      <c r="G240" s="2">
        <v>5</v>
      </c>
      <c r="H240" s="9">
        <v>120000</v>
      </c>
      <c r="I240" s="9">
        <v>600000</v>
      </c>
      <c r="J240" s="21">
        <v>45801</v>
      </c>
      <c r="K240" s="7" t="s">
        <v>1006</v>
      </c>
      <c r="L240" s="2" t="s">
        <v>13</v>
      </c>
      <c r="M240" s="2" t="s">
        <v>14</v>
      </c>
      <c r="U240" s="10"/>
      <c r="V240" s="10"/>
      <c r="W240" s="11"/>
    </row>
    <row r="241" spans="1:23" x14ac:dyDescent="0.35">
      <c r="A241" s="2">
        <v>10239</v>
      </c>
      <c r="B241" s="2" t="s">
        <v>197</v>
      </c>
      <c r="C241" s="2" t="s">
        <v>671</v>
      </c>
      <c r="D241" s="2" t="s">
        <v>82</v>
      </c>
      <c r="E241" s="2" t="s">
        <v>15</v>
      </c>
      <c r="F241" s="2" t="s">
        <v>73</v>
      </c>
      <c r="G241" s="2">
        <v>10</v>
      </c>
      <c r="H241" s="9">
        <v>120000</v>
      </c>
      <c r="I241" s="9">
        <v>1200000</v>
      </c>
      <c r="J241" s="21">
        <v>45842</v>
      </c>
      <c r="K241" s="7" t="s">
        <v>1013</v>
      </c>
      <c r="L241" s="2" t="s">
        <v>17</v>
      </c>
      <c r="M241" s="2" t="s">
        <v>14</v>
      </c>
      <c r="U241" s="10"/>
      <c r="V241" s="10"/>
      <c r="W241" s="11"/>
    </row>
    <row r="242" spans="1:23" x14ac:dyDescent="0.35">
      <c r="A242" s="2">
        <v>10509</v>
      </c>
      <c r="B242" s="2" t="s">
        <v>672</v>
      </c>
      <c r="C242" s="2" t="s">
        <v>198</v>
      </c>
      <c r="D242" s="2" t="s">
        <v>59</v>
      </c>
      <c r="E242" s="2" t="s">
        <v>34</v>
      </c>
      <c r="F242" s="2" t="s">
        <v>37</v>
      </c>
      <c r="G242" s="2">
        <v>1</v>
      </c>
      <c r="H242" s="9">
        <v>120000</v>
      </c>
      <c r="I242" s="9">
        <v>120000</v>
      </c>
      <c r="J242" s="21">
        <v>45913</v>
      </c>
      <c r="K242" s="7" t="s">
        <v>1015</v>
      </c>
      <c r="L242" s="2" t="s">
        <v>24</v>
      </c>
      <c r="M242" s="2" t="s">
        <v>25</v>
      </c>
      <c r="U242" s="10"/>
      <c r="V242" s="10"/>
      <c r="W242" s="11"/>
    </row>
    <row r="243" spans="1:23" x14ac:dyDescent="0.35">
      <c r="A243" s="2">
        <v>10329</v>
      </c>
      <c r="B243" s="2" t="s">
        <v>673</v>
      </c>
      <c r="C243" s="2" t="s">
        <v>199</v>
      </c>
      <c r="D243" s="2" t="s">
        <v>63</v>
      </c>
      <c r="E243" s="2" t="s">
        <v>18</v>
      </c>
      <c r="F243" s="2" t="s">
        <v>26</v>
      </c>
      <c r="G243" s="2">
        <v>9</v>
      </c>
      <c r="H243" s="9">
        <v>25000</v>
      </c>
      <c r="I243" s="9">
        <v>225000</v>
      </c>
      <c r="J243" s="21">
        <v>45696</v>
      </c>
      <c r="K243" s="7" t="s">
        <v>1011</v>
      </c>
      <c r="L243" s="2" t="s">
        <v>40</v>
      </c>
      <c r="M243" s="2" t="s">
        <v>14</v>
      </c>
      <c r="U243" s="10"/>
      <c r="V243" s="10"/>
      <c r="W243" s="11"/>
    </row>
    <row r="244" spans="1:23" x14ac:dyDescent="0.35">
      <c r="A244" s="2">
        <v>10471</v>
      </c>
      <c r="B244" s="2" t="s">
        <v>200</v>
      </c>
      <c r="C244" s="2" t="s">
        <v>674</v>
      </c>
      <c r="D244" s="2" t="s">
        <v>66</v>
      </c>
      <c r="E244" s="2" t="s">
        <v>34</v>
      </c>
      <c r="F244" s="2" t="s">
        <v>45</v>
      </c>
      <c r="G244" s="2">
        <v>3</v>
      </c>
      <c r="H244" s="9">
        <v>50000</v>
      </c>
      <c r="I244" s="9">
        <v>150000</v>
      </c>
      <c r="J244" s="21">
        <v>45666</v>
      </c>
      <c r="K244" s="7" t="s">
        <v>1005</v>
      </c>
      <c r="L244" s="2" t="s">
        <v>13</v>
      </c>
      <c r="M244" s="2" t="s">
        <v>27</v>
      </c>
      <c r="U244" s="10"/>
      <c r="V244" s="10"/>
      <c r="W244" s="11"/>
    </row>
    <row r="245" spans="1:23" x14ac:dyDescent="0.35">
      <c r="A245" s="2">
        <v>10537</v>
      </c>
      <c r="B245" s="2" t="s">
        <v>467</v>
      </c>
      <c r="C245" s="2" t="s">
        <v>675</v>
      </c>
      <c r="D245" s="2" t="s">
        <v>66</v>
      </c>
      <c r="E245" s="2" t="s">
        <v>11</v>
      </c>
      <c r="F245" s="2" t="s">
        <v>12</v>
      </c>
      <c r="G245" s="2">
        <v>8</v>
      </c>
      <c r="H245" s="9">
        <v>99000</v>
      </c>
      <c r="I245" s="9">
        <v>792000</v>
      </c>
      <c r="J245" s="21">
        <v>45933</v>
      </c>
      <c r="K245" s="7" t="s">
        <v>1014</v>
      </c>
      <c r="L245" s="2" t="s">
        <v>13</v>
      </c>
      <c r="M245" s="2" t="s">
        <v>27</v>
      </c>
      <c r="U245" s="10"/>
      <c r="V245" s="10"/>
      <c r="W245" s="11"/>
    </row>
    <row r="246" spans="1:23" x14ac:dyDescent="0.35">
      <c r="A246" s="2">
        <v>10062</v>
      </c>
      <c r="B246" s="2" t="s">
        <v>676</v>
      </c>
      <c r="C246" s="2" t="s">
        <v>677</v>
      </c>
      <c r="D246" s="2" t="s">
        <v>66</v>
      </c>
      <c r="E246" s="2" t="s">
        <v>29</v>
      </c>
      <c r="F246" s="2" t="s">
        <v>64</v>
      </c>
      <c r="G246" s="2">
        <v>8</v>
      </c>
      <c r="H246" s="9">
        <v>250000</v>
      </c>
      <c r="I246" s="9">
        <v>2000000</v>
      </c>
      <c r="J246" s="21">
        <v>45875</v>
      </c>
      <c r="K246" s="7" t="s">
        <v>1008</v>
      </c>
      <c r="L246" s="2" t="s">
        <v>40</v>
      </c>
      <c r="M246" s="2" t="s">
        <v>27</v>
      </c>
      <c r="U246" s="10"/>
      <c r="V246" s="10"/>
      <c r="W246" s="11"/>
    </row>
    <row r="247" spans="1:23" x14ac:dyDescent="0.35">
      <c r="A247" s="2">
        <v>10402</v>
      </c>
      <c r="B247" s="2" t="s">
        <v>90</v>
      </c>
      <c r="C247" s="2" t="s">
        <v>678</v>
      </c>
      <c r="D247" s="2" t="s">
        <v>46</v>
      </c>
      <c r="E247" s="2" t="s">
        <v>18</v>
      </c>
      <c r="F247" s="2" t="s">
        <v>70</v>
      </c>
      <c r="G247" s="2">
        <v>7</v>
      </c>
      <c r="H247" s="9">
        <v>75000</v>
      </c>
      <c r="I247" s="9">
        <v>525000</v>
      </c>
      <c r="J247" s="21">
        <v>45741</v>
      </c>
      <c r="K247" s="7" t="s">
        <v>1016</v>
      </c>
      <c r="L247" s="2" t="s">
        <v>24</v>
      </c>
      <c r="M247" s="2" t="s">
        <v>20</v>
      </c>
      <c r="U247" s="10"/>
      <c r="V247" s="10"/>
      <c r="W247" s="11"/>
    </row>
    <row r="248" spans="1:23" x14ac:dyDescent="0.35">
      <c r="A248" s="2">
        <v>10145</v>
      </c>
      <c r="B248" s="2" t="s">
        <v>679</v>
      </c>
      <c r="C248" s="2" t="s">
        <v>680</v>
      </c>
      <c r="D248" s="2" t="s">
        <v>86</v>
      </c>
      <c r="E248" s="2" t="s">
        <v>29</v>
      </c>
      <c r="F248" s="2" t="s">
        <v>81</v>
      </c>
      <c r="G248" s="2">
        <v>6</v>
      </c>
      <c r="H248" s="9">
        <v>99000</v>
      </c>
      <c r="I248" s="9">
        <v>594000</v>
      </c>
      <c r="J248" s="21">
        <v>45797</v>
      </c>
      <c r="K248" s="7" t="s">
        <v>1006</v>
      </c>
      <c r="L248" s="2" t="s">
        <v>13</v>
      </c>
      <c r="M248" s="2" t="s">
        <v>14</v>
      </c>
      <c r="U248" s="10"/>
      <c r="V248" s="10"/>
      <c r="W248" s="11"/>
    </row>
    <row r="249" spans="1:23" x14ac:dyDescent="0.35">
      <c r="A249" s="2">
        <v>10228</v>
      </c>
      <c r="B249" s="2" t="s">
        <v>625</v>
      </c>
      <c r="C249" s="2" t="s">
        <v>681</v>
      </c>
      <c r="D249" s="2" t="s">
        <v>63</v>
      </c>
      <c r="E249" s="2" t="s">
        <v>18</v>
      </c>
      <c r="F249" s="2" t="s">
        <v>70</v>
      </c>
      <c r="G249" s="2">
        <v>7</v>
      </c>
      <c r="H249" s="9">
        <v>250000</v>
      </c>
      <c r="I249" s="9">
        <v>1750000</v>
      </c>
      <c r="J249" s="21">
        <v>45747</v>
      </c>
      <c r="K249" s="7" t="s">
        <v>1016</v>
      </c>
      <c r="L249" s="2" t="s">
        <v>40</v>
      </c>
      <c r="M249" s="2" t="s">
        <v>14</v>
      </c>
      <c r="U249" s="10"/>
      <c r="V249" s="10"/>
      <c r="W249" s="11"/>
    </row>
    <row r="250" spans="1:23" x14ac:dyDescent="0.35">
      <c r="A250" s="2">
        <v>10028</v>
      </c>
      <c r="B250" s="2" t="s">
        <v>58</v>
      </c>
      <c r="C250" s="2" t="s">
        <v>682</v>
      </c>
      <c r="D250" s="2" t="s">
        <v>66</v>
      </c>
      <c r="E250" s="2" t="s">
        <v>34</v>
      </c>
      <c r="F250" s="2" t="s">
        <v>35</v>
      </c>
      <c r="G250" s="2">
        <v>10</v>
      </c>
      <c r="H250" s="9">
        <v>35000</v>
      </c>
      <c r="I250" s="9">
        <v>350000</v>
      </c>
      <c r="J250" s="21">
        <v>45721</v>
      </c>
      <c r="K250" s="7" t="s">
        <v>1016</v>
      </c>
      <c r="L250" s="2" t="s">
        <v>36</v>
      </c>
      <c r="M250" s="2" t="s">
        <v>20</v>
      </c>
      <c r="U250" s="10"/>
      <c r="V250" s="10"/>
      <c r="W250" s="11"/>
    </row>
    <row r="251" spans="1:23" x14ac:dyDescent="0.35">
      <c r="A251" s="2">
        <v>10138</v>
      </c>
      <c r="B251" s="2" t="s">
        <v>683</v>
      </c>
      <c r="C251" s="2" t="s">
        <v>684</v>
      </c>
      <c r="D251" s="2" t="s">
        <v>148</v>
      </c>
      <c r="E251" s="2" t="s">
        <v>29</v>
      </c>
      <c r="F251" s="2" t="s">
        <v>64</v>
      </c>
      <c r="G251" s="2">
        <v>5</v>
      </c>
      <c r="H251" s="9">
        <v>25000</v>
      </c>
      <c r="I251" s="9">
        <v>125000</v>
      </c>
      <c r="J251" s="21">
        <v>45848</v>
      </c>
      <c r="K251" s="7" t="s">
        <v>1013</v>
      </c>
      <c r="L251" s="2" t="s">
        <v>36</v>
      </c>
      <c r="M251" s="2" t="s">
        <v>14</v>
      </c>
      <c r="U251" s="10"/>
      <c r="V251" s="10"/>
      <c r="W251" s="11"/>
    </row>
    <row r="252" spans="1:23" x14ac:dyDescent="0.35">
      <c r="A252" s="2">
        <v>10034</v>
      </c>
      <c r="B252" s="2" t="s">
        <v>685</v>
      </c>
      <c r="C252" s="2" t="s">
        <v>686</v>
      </c>
      <c r="D252" s="2" t="s">
        <v>86</v>
      </c>
      <c r="E252" s="2" t="s">
        <v>11</v>
      </c>
      <c r="F252" s="2" t="s">
        <v>50</v>
      </c>
      <c r="G252" s="2">
        <v>5</v>
      </c>
      <c r="H252" s="9">
        <v>15000</v>
      </c>
      <c r="I252" s="9">
        <v>75000</v>
      </c>
      <c r="J252" s="21">
        <v>46020</v>
      </c>
      <c r="K252" s="7" t="s">
        <v>1010</v>
      </c>
      <c r="L252" s="2" t="s">
        <v>13</v>
      </c>
      <c r="M252" s="2" t="s">
        <v>31</v>
      </c>
      <c r="U252" s="10"/>
      <c r="V252" s="10"/>
      <c r="W252" s="11"/>
    </row>
    <row r="253" spans="1:23" x14ac:dyDescent="0.35">
      <c r="A253" s="2">
        <v>10259</v>
      </c>
      <c r="B253" s="2" t="s">
        <v>687</v>
      </c>
      <c r="C253" s="2" t="s">
        <v>688</v>
      </c>
      <c r="D253" s="2" t="s">
        <v>23</v>
      </c>
      <c r="E253" s="2" t="s">
        <v>15</v>
      </c>
      <c r="F253" s="2" t="s">
        <v>55</v>
      </c>
      <c r="G253" s="2">
        <v>1</v>
      </c>
      <c r="H253" s="9">
        <v>15000</v>
      </c>
      <c r="I253" s="9">
        <v>15000</v>
      </c>
      <c r="J253" s="21">
        <v>45843</v>
      </c>
      <c r="K253" s="7" t="s">
        <v>1013</v>
      </c>
      <c r="L253" s="2" t="s">
        <v>13</v>
      </c>
      <c r="M253" s="2" t="s">
        <v>25</v>
      </c>
      <c r="U253" s="10"/>
      <c r="V253" s="10"/>
      <c r="W253" s="11"/>
    </row>
    <row r="254" spans="1:23" x14ac:dyDescent="0.35">
      <c r="A254" s="2">
        <v>10352</v>
      </c>
      <c r="B254" s="2" t="s">
        <v>689</v>
      </c>
      <c r="C254" s="2" t="s">
        <v>201</v>
      </c>
      <c r="D254" s="2" t="s">
        <v>117</v>
      </c>
      <c r="E254" s="2" t="s">
        <v>15</v>
      </c>
      <c r="F254" s="2" t="s">
        <v>49</v>
      </c>
      <c r="G254" s="2">
        <v>3</v>
      </c>
      <c r="H254" s="9">
        <v>50000</v>
      </c>
      <c r="I254" s="9">
        <v>150000</v>
      </c>
      <c r="J254" s="21">
        <v>45746</v>
      </c>
      <c r="K254" s="7" t="s">
        <v>1016</v>
      </c>
      <c r="L254" s="2" t="s">
        <v>13</v>
      </c>
      <c r="M254" s="2" t="s">
        <v>25</v>
      </c>
      <c r="U254" s="10"/>
      <c r="V254" s="10"/>
      <c r="W254" s="11"/>
    </row>
    <row r="255" spans="1:23" x14ac:dyDescent="0.35">
      <c r="A255" s="2">
        <v>10575</v>
      </c>
      <c r="B255" s="2" t="s">
        <v>690</v>
      </c>
      <c r="C255" s="2" t="s">
        <v>436</v>
      </c>
      <c r="D255" s="2" t="s">
        <v>46</v>
      </c>
      <c r="E255" s="2" t="s">
        <v>29</v>
      </c>
      <c r="F255" s="2" t="s">
        <v>30</v>
      </c>
      <c r="G255" s="2">
        <v>5</v>
      </c>
      <c r="H255" s="9">
        <v>99000</v>
      </c>
      <c r="I255" s="9">
        <v>495000</v>
      </c>
      <c r="J255" s="21">
        <v>45817</v>
      </c>
      <c r="K255" s="7" t="s">
        <v>1007</v>
      </c>
      <c r="L255" s="2" t="s">
        <v>17</v>
      </c>
      <c r="M255" s="2" t="s">
        <v>31</v>
      </c>
    </row>
    <row r="256" spans="1:23" x14ac:dyDescent="0.35">
      <c r="A256" s="2">
        <v>10376</v>
      </c>
      <c r="B256" s="2" t="s">
        <v>652</v>
      </c>
      <c r="C256" s="2" t="s">
        <v>691</v>
      </c>
      <c r="D256" s="2" t="s">
        <v>63</v>
      </c>
      <c r="E256" s="2" t="s">
        <v>11</v>
      </c>
      <c r="F256" s="2" t="s">
        <v>61</v>
      </c>
      <c r="G256" s="2">
        <v>1</v>
      </c>
      <c r="H256" s="9">
        <v>50000</v>
      </c>
      <c r="I256" s="9">
        <v>50000</v>
      </c>
      <c r="J256" s="21">
        <v>45928</v>
      </c>
      <c r="K256" s="7" t="s">
        <v>1015</v>
      </c>
      <c r="L256" s="2" t="s">
        <v>13</v>
      </c>
      <c r="M256" s="2" t="s">
        <v>31</v>
      </c>
    </row>
    <row r="257" spans="1:13" x14ac:dyDescent="0.35">
      <c r="A257" s="2">
        <v>10451</v>
      </c>
      <c r="B257" s="2" t="s">
        <v>214</v>
      </c>
      <c r="C257" s="2" t="s">
        <v>202</v>
      </c>
      <c r="D257" s="2" t="s">
        <v>63</v>
      </c>
      <c r="E257" s="2" t="s">
        <v>29</v>
      </c>
      <c r="F257" s="2" t="s">
        <v>64</v>
      </c>
      <c r="G257" s="2">
        <v>4</v>
      </c>
      <c r="H257" s="9">
        <v>75000</v>
      </c>
      <c r="I257" s="9">
        <v>300000</v>
      </c>
      <c r="J257" s="21">
        <v>45946</v>
      </c>
      <c r="K257" s="7" t="s">
        <v>1014</v>
      </c>
      <c r="L257" s="2" t="s">
        <v>13</v>
      </c>
      <c r="M257" s="2" t="s">
        <v>27</v>
      </c>
    </row>
    <row r="258" spans="1:13" x14ac:dyDescent="0.35">
      <c r="A258" s="2">
        <v>10302</v>
      </c>
      <c r="B258" s="2" t="s">
        <v>149</v>
      </c>
      <c r="C258" s="2" t="s">
        <v>203</v>
      </c>
      <c r="D258" s="2" t="s">
        <v>148</v>
      </c>
      <c r="E258" s="2" t="s">
        <v>34</v>
      </c>
      <c r="F258" s="2" t="s">
        <v>35</v>
      </c>
      <c r="G258" s="2">
        <v>10</v>
      </c>
      <c r="H258" s="9">
        <v>45000</v>
      </c>
      <c r="I258" s="9">
        <v>450000</v>
      </c>
      <c r="J258" s="21">
        <v>45908</v>
      </c>
      <c r="K258" s="7" t="s">
        <v>1015</v>
      </c>
      <c r="L258" s="2" t="s">
        <v>40</v>
      </c>
      <c r="M258" s="2" t="s">
        <v>14</v>
      </c>
    </row>
    <row r="259" spans="1:13" x14ac:dyDescent="0.35">
      <c r="A259" s="2">
        <v>10273</v>
      </c>
      <c r="B259" s="2" t="s">
        <v>435</v>
      </c>
      <c r="C259" s="2" t="s">
        <v>204</v>
      </c>
      <c r="D259" s="2" t="s">
        <v>46</v>
      </c>
      <c r="E259" s="2" t="s">
        <v>15</v>
      </c>
      <c r="F259" s="2" t="s">
        <v>16</v>
      </c>
      <c r="G259" s="32">
        <v>6</v>
      </c>
      <c r="H259" s="9">
        <v>75000</v>
      </c>
      <c r="I259" s="9">
        <f>G259*H259</f>
        <v>450000</v>
      </c>
      <c r="J259" s="21">
        <v>45944</v>
      </c>
      <c r="K259" s="7" t="s">
        <v>1014</v>
      </c>
      <c r="L259" s="2" t="s">
        <v>36</v>
      </c>
      <c r="M259" s="2" t="s">
        <v>14</v>
      </c>
    </row>
    <row r="260" spans="1:13" x14ac:dyDescent="0.35">
      <c r="A260" s="2">
        <v>10315</v>
      </c>
      <c r="B260" s="2" t="s">
        <v>630</v>
      </c>
      <c r="C260" s="2" t="s">
        <v>205</v>
      </c>
      <c r="D260" s="2" t="s">
        <v>23</v>
      </c>
      <c r="E260" s="2" t="s">
        <v>11</v>
      </c>
      <c r="F260" s="2" t="s">
        <v>50</v>
      </c>
      <c r="G260" s="2">
        <v>9</v>
      </c>
      <c r="H260" s="9">
        <v>25000</v>
      </c>
      <c r="I260" s="9">
        <v>225000</v>
      </c>
      <c r="J260" s="21">
        <v>45990</v>
      </c>
      <c r="K260" s="7" t="s">
        <v>1009</v>
      </c>
      <c r="L260" s="2" t="s">
        <v>40</v>
      </c>
      <c r="M260" s="2" t="s">
        <v>27</v>
      </c>
    </row>
    <row r="261" spans="1:13" x14ac:dyDescent="0.35">
      <c r="A261" s="2">
        <v>10337</v>
      </c>
      <c r="B261" s="2" t="s">
        <v>692</v>
      </c>
      <c r="C261" s="2" t="s">
        <v>206</v>
      </c>
      <c r="D261" s="2" t="s">
        <v>86</v>
      </c>
      <c r="E261" s="2" t="s">
        <v>18</v>
      </c>
      <c r="F261" s="2" t="s">
        <v>57</v>
      </c>
      <c r="G261" s="2">
        <v>2</v>
      </c>
      <c r="H261" s="9">
        <v>250000</v>
      </c>
      <c r="I261" s="9">
        <v>500000</v>
      </c>
      <c r="J261" s="21">
        <v>45924</v>
      </c>
      <c r="K261" s="7" t="s">
        <v>1015</v>
      </c>
      <c r="L261" s="2" t="s">
        <v>40</v>
      </c>
      <c r="M261" s="2" t="s">
        <v>20</v>
      </c>
    </row>
    <row r="262" spans="1:13" x14ac:dyDescent="0.35">
      <c r="A262" s="2">
        <v>10426</v>
      </c>
      <c r="B262" s="2" t="s">
        <v>693</v>
      </c>
      <c r="C262" s="2" t="s">
        <v>207</v>
      </c>
      <c r="D262" s="2" t="s">
        <v>46</v>
      </c>
      <c r="E262" s="2" t="s">
        <v>18</v>
      </c>
      <c r="F262" s="2" t="s">
        <v>70</v>
      </c>
      <c r="G262" s="2">
        <v>3</v>
      </c>
      <c r="H262" s="9">
        <v>120000</v>
      </c>
      <c r="I262" s="9">
        <v>360000</v>
      </c>
      <c r="J262" s="21">
        <v>45980</v>
      </c>
      <c r="K262" s="7" t="s">
        <v>1009</v>
      </c>
      <c r="L262" s="2" t="s">
        <v>24</v>
      </c>
      <c r="M262" s="2" t="s">
        <v>14</v>
      </c>
    </row>
    <row r="263" spans="1:13" x14ac:dyDescent="0.35">
      <c r="A263" s="2">
        <v>10255</v>
      </c>
      <c r="B263" s="2" t="s">
        <v>694</v>
      </c>
      <c r="C263" s="2" t="s">
        <v>695</v>
      </c>
      <c r="D263" s="2" t="s">
        <v>46</v>
      </c>
      <c r="E263" s="2" t="s">
        <v>18</v>
      </c>
      <c r="F263" s="2" t="s">
        <v>26</v>
      </c>
      <c r="G263" s="2">
        <v>9</v>
      </c>
      <c r="H263" s="9">
        <v>45000</v>
      </c>
      <c r="I263" s="9">
        <v>405000</v>
      </c>
      <c r="J263" s="21">
        <v>45782</v>
      </c>
      <c r="K263" s="7" t="s">
        <v>1006</v>
      </c>
      <c r="L263" s="2" t="s">
        <v>24</v>
      </c>
      <c r="M263" s="2" t="s">
        <v>25</v>
      </c>
    </row>
    <row r="264" spans="1:13" x14ac:dyDescent="0.35">
      <c r="A264" s="2">
        <v>10525</v>
      </c>
      <c r="B264" s="2" t="s">
        <v>136</v>
      </c>
      <c r="C264" s="2" t="s">
        <v>696</v>
      </c>
      <c r="D264" s="2" t="s">
        <v>82</v>
      </c>
      <c r="E264" s="2" t="s">
        <v>29</v>
      </c>
      <c r="F264" s="2" t="s">
        <v>64</v>
      </c>
      <c r="G264" s="2">
        <v>1</v>
      </c>
      <c r="H264" s="9">
        <v>120000</v>
      </c>
      <c r="I264" s="9">
        <v>120000</v>
      </c>
      <c r="J264" s="21">
        <v>45678</v>
      </c>
      <c r="K264" s="7" t="s">
        <v>1005</v>
      </c>
      <c r="L264" s="2" t="s">
        <v>36</v>
      </c>
      <c r="M264" s="2" t="s">
        <v>25</v>
      </c>
    </row>
    <row r="265" spans="1:13" x14ac:dyDescent="0.35">
      <c r="A265" s="2">
        <v>10100</v>
      </c>
      <c r="B265" s="2" t="s">
        <v>685</v>
      </c>
      <c r="C265" s="2" t="s">
        <v>208</v>
      </c>
      <c r="D265" s="2" t="s">
        <v>86</v>
      </c>
      <c r="E265" s="2" t="s">
        <v>18</v>
      </c>
      <c r="F265" s="2" t="s">
        <v>26</v>
      </c>
      <c r="G265" s="2">
        <v>8</v>
      </c>
      <c r="H265" s="9">
        <v>35000</v>
      </c>
      <c r="I265" s="9">
        <v>280000</v>
      </c>
      <c r="J265" s="21">
        <v>45916</v>
      </c>
      <c r="K265" s="7" t="s">
        <v>1015</v>
      </c>
      <c r="L265" s="2" t="s">
        <v>40</v>
      </c>
      <c r="M265" s="2" t="s">
        <v>25</v>
      </c>
    </row>
    <row r="266" spans="1:13" x14ac:dyDescent="0.35">
      <c r="A266" s="2">
        <v>10392</v>
      </c>
      <c r="B266" s="2" t="s">
        <v>697</v>
      </c>
      <c r="C266" s="2" t="s">
        <v>698</v>
      </c>
      <c r="D266" s="2" t="s">
        <v>63</v>
      </c>
      <c r="E266" s="2" t="s">
        <v>29</v>
      </c>
      <c r="F266" s="2" t="s">
        <v>41</v>
      </c>
      <c r="G266" s="2">
        <v>1</v>
      </c>
      <c r="H266" s="9">
        <v>250000</v>
      </c>
      <c r="I266" s="9">
        <v>250000</v>
      </c>
      <c r="J266" s="21">
        <v>45885</v>
      </c>
      <c r="K266" s="7" t="s">
        <v>1008</v>
      </c>
      <c r="L266" s="2" t="s">
        <v>24</v>
      </c>
      <c r="M266" s="2" t="s">
        <v>25</v>
      </c>
    </row>
    <row r="267" spans="1:13" x14ac:dyDescent="0.35">
      <c r="A267" s="2">
        <v>10142</v>
      </c>
      <c r="B267" s="2" t="s">
        <v>630</v>
      </c>
      <c r="C267" s="2" t="s">
        <v>209</v>
      </c>
      <c r="D267" s="2" t="s">
        <v>66</v>
      </c>
      <c r="E267" s="2" t="s">
        <v>11</v>
      </c>
      <c r="F267" s="2" t="s">
        <v>50</v>
      </c>
      <c r="G267" s="2">
        <v>7</v>
      </c>
      <c r="H267" s="9">
        <v>199000</v>
      </c>
      <c r="I267" s="9">
        <v>1393000</v>
      </c>
      <c r="J267" s="21">
        <v>45873</v>
      </c>
      <c r="K267" s="7" t="s">
        <v>1008</v>
      </c>
      <c r="L267" s="2" t="s">
        <v>17</v>
      </c>
      <c r="M267" s="2" t="s">
        <v>27</v>
      </c>
    </row>
    <row r="268" spans="1:13" x14ac:dyDescent="0.35">
      <c r="A268" s="2">
        <v>10076</v>
      </c>
      <c r="B268" s="2" t="s">
        <v>699</v>
      </c>
      <c r="C268" s="2" t="s">
        <v>210</v>
      </c>
      <c r="D268" s="2" t="s">
        <v>46</v>
      </c>
      <c r="E268" s="2" t="s">
        <v>15</v>
      </c>
      <c r="F268" s="2" t="s">
        <v>16</v>
      </c>
      <c r="G268" s="2">
        <v>5</v>
      </c>
      <c r="H268" s="9">
        <v>45000</v>
      </c>
      <c r="I268" s="9">
        <v>225000</v>
      </c>
      <c r="J268" s="21">
        <v>45812</v>
      </c>
      <c r="K268" s="7" t="s">
        <v>1007</v>
      </c>
      <c r="L268" s="2" t="s">
        <v>24</v>
      </c>
      <c r="M268" s="2" t="s">
        <v>14</v>
      </c>
    </row>
    <row r="269" spans="1:13" x14ac:dyDescent="0.35">
      <c r="A269" s="2">
        <v>10476</v>
      </c>
      <c r="B269" s="2" t="s">
        <v>211</v>
      </c>
      <c r="C269" s="2" t="s">
        <v>700</v>
      </c>
      <c r="D269" s="2" t="s">
        <v>23</v>
      </c>
      <c r="E269" s="2" t="s">
        <v>11</v>
      </c>
      <c r="F269" s="2" t="s">
        <v>61</v>
      </c>
      <c r="G269" s="2">
        <v>2</v>
      </c>
      <c r="H269" s="9">
        <v>199000</v>
      </c>
      <c r="I269" s="9">
        <v>398000</v>
      </c>
      <c r="J269" s="21">
        <v>45828</v>
      </c>
      <c r="K269" s="7" t="s">
        <v>1007</v>
      </c>
      <c r="L269" s="2" t="s">
        <v>24</v>
      </c>
      <c r="M269" s="2" t="s">
        <v>25</v>
      </c>
    </row>
    <row r="270" spans="1:13" x14ac:dyDescent="0.35">
      <c r="A270" s="2">
        <v>10429</v>
      </c>
      <c r="B270" s="2" t="s">
        <v>571</v>
      </c>
      <c r="C270" s="2" t="s">
        <v>436</v>
      </c>
      <c r="D270" s="2" t="s">
        <v>46</v>
      </c>
      <c r="E270" s="2" t="s">
        <v>29</v>
      </c>
      <c r="F270" s="2" t="s">
        <v>64</v>
      </c>
      <c r="G270" s="2">
        <v>3</v>
      </c>
      <c r="H270" s="9">
        <v>120000</v>
      </c>
      <c r="I270" s="9">
        <v>360000</v>
      </c>
      <c r="J270" s="21">
        <v>45758</v>
      </c>
      <c r="K270" s="7" t="s">
        <v>1012</v>
      </c>
      <c r="L270" s="2" t="s">
        <v>36</v>
      </c>
      <c r="M270" s="2" t="s">
        <v>31</v>
      </c>
    </row>
    <row r="271" spans="1:13" x14ac:dyDescent="0.35">
      <c r="A271" s="2">
        <v>10158</v>
      </c>
      <c r="B271" s="2" t="s">
        <v>693</v>
      </c>
      <c r="C271" s="2" t="s">
        <v>701</v>
      </c>
      <c r="D271" s="2" t="s">
        <v>23</v>
      </c>
      <c r="E271" s="2" t="s">
        <v>18</v>
      </c>
      <c r="F271" s="2" t="s">
        <v>52</v>
      </c>
      <c r="G271" s="2">
        <v>1</v>
      </c>
      <c r="H271" s="9">
        <v>75000</v>
      </c>
      <c r="I271" s="9">
        <v>75000</v>
      </c>
      <c r="J271" s="21">
        <v>45972</v>
      </c>
      <c r="K271" s="7" t="s">
        <v>1009</v>
      </c>
      <c r="L271" s="2" t="s">
        <v>36</v>
      </c>
      <c r="M271" s="2" t="s">
        <v>31</v>
      </c>
    </row>
    <row r="272" spans="1:13" x14ac:dyDescent="0.35">
      <c r="A272" s="2">
        <v>10115</v>
      </c>
      <c r="B272" s="2" t="s">
        <v>702</v>
      </c>
      <c r="C272" s="2" t="s">
        <v>703</v>
      </c>
      <c r="D272" s="2" t="s">
        <v>66</v>
      </c>
      <c r="E272" s="2" t="s">
        <v>18</v>
      </c>
      <c r="F272" s="2" t="s">
        <v>26</v>
      </c>
      <c r="G272" s="2">
        <v>7</v>
      </c>
      <c r="H272" s="9">
        <v>15000</v>
      </c>
      <c r="I272" s="9">
        <v>105000</v>
      </c>
      <c r="J272" s="21">
        <v>45666</v>
      </c>
      <c r="K272" s="7" t="s">
        <v>1005</v>
      </c>
      <c r="L272" s="2" t="s">
        <v>13</v>
      </c>
      <c r="M272" s="2" t="s">
        <v>25</v>
      </c>
    </row>
    <row r="273" spans="1:13" x14ac:dyDescent="0.35">
      <c r="A273" s="2">
        <v>10345</v>
      </c>
      <c r="B273" s="2" t="s">
        <v>704</v>
      </c>
      <c r="C273" s="2" t="s">
        <v>436</v>
      </c>
      <c r="D273" s="2" t="s">
        <v>86</v>
      </c>
      <c r="E273" s="2" t="s">
        <v>18</v>
      </c>
      <c r="F273" s="2" t="s">
        <v>19</v>
      </c>
      <c r="G273" s="32">
        <v>7</v>
      </c>
      <c r="H273" s="9">
        <v>45000</v>
      </c>
      <c r="I273" s="9">
        <f>G273*H273</f>
        <v>315000</v>
      </c>
      <c r="J273" s="21">
        <v>45716</v>
      </c>
      <c r="K273" s="7" t="s">
        <v>1011</v>
      </c>
      <c r="L273" s="2" t="s">
        <v>36</v>
      </c>
      <c r="M273" s="2" t="s">
        <v>31</v>
      </c>
    </row>
    <row r="274" spans="1:13" x14ac:dyDescent="0.35">
      <c r="A274" s="2">
        <v>10431</v>
      </c>
      <c r="B274" s="2" t="s">
        <v>212</v>
      </c>
      <c r="C274" s="2" t="s">
        <v>213</v>
      </c>
      <c r="D274" s="2" t="s">
        <v>117</v>
      </c>
      <c r="E274" s="2" t="s">
        <v>34</v>
      </c>
      <c r="F274" s="2" t="s">
        <v>37</v>
      </c>
      <c r="G274" s="2">
        <v>8</v>
      </c>
      <c r="H274" s="9">
        <v>15000</v>
      </c>
      <c r="I274" s="9">
        <v>120000</v>
      </c>
      <c r="J274" s="21">
        <v>45843</v>
      </c>
      <c r="K274" s="7" t="s">
        <v>1013</v>
      </c>
      <c r="L274" s="2" t="s">
        <v>24</v>
      </c>
      <c r="M274" s="2" t="s">
        <v>31</v>
      </c>
    </row>
    <row r="275" spans="1:13" x14ac:dyDescent="0.35">
      <c r="A275" s="2">
        <v>10007</v>
      </c>
      <c r="B275" s="2" t="s">
        <v>693</v>
      </c>
      <c r="C275" s="2" t="s">
        <v>705</v>
      </c>
      <c r="D275" s="2" t="s">
        <v>33</v>
      </c>
      <c r="E275" s="2" t="s">
        <v>15</v>
      </c>
      <c r="F275" s="2" t="s">
        <v>16</v>
      </c>
      <c r="G275" s="2">
        <v>9</v>
      </c>
      <c r="H275" s="9">
        <v>35000</v>
      </c>
      <c r="I275" s="9">
        <v>315000</v>
      </c>
      <c r="J275" s="21">
        <v>45723</v>
      </c>
      <c r="K275" s="7" t="s">
        <v>1016</v>
      </c>
      <c r="L275" s="2" t="s">
        <v>40</v>
      </c>
      <c r="M275" s="2" t="s">
        <v>27</v>
      </c>
    </row>
    <row r="276" spans="1:13" x14ac:dyDescent="0.35">
      <c r="A276" s="2">
        <v>10194</v>
      </c>
      <c r="B276" s="2" t="s">
        <v>376</v>
      </c>
      <c r="C276" s="2" t="s">
        <v>706</v>
      </c>
      <c r="D276" s="2" t="s">
        <v>117</v>
      </c>
      <c r="E276" s="2" t="s">
        <v>11</v>
      </c>
      <c r="F276" s="2" t="s">
        <v>71</v>
      </c>
      <c r="G276" s="2">
        <v>3</v>
      </c>
      <c r="H276" s="9">
        <v>35000</v>
      </c>
      <c r="I276" s="9">
        <v>105000</v>
      </c>
      <c r="J276" s="21">
        <v>45869</v>
      </c>
      <c r="K276" s="7" t="s">
        <v>1013</v>
      </c>
      <c r="L276" s="2" t="s">
        <v>13</v>
      </c>
      <c r="M276" s="2" t="s">
        <v>27</v>
      </c>
    </row>
    <row r="277" spans="1:13" x14ac:dyDescent="0.35">
      <c r="A277" s="2">
        <v>10356</v>
      </c>
      <c r="B277" s="2" t="s">
        <v>445</v>
      </c>
      <c r="C277" s="2" t="s">
        <v>707</v>
      </c>
      <c r="D277" s="2" t="s">
        <v>46</v>
      </c>
      <c r="E277" s="2" t="s">
        <v>29</v>
      </c>
      <c r="F277" s="2" t="s">
        <v>81</v>
      </c>
      <c r="G277" s="2">
        <v>5</v>
      </c>
      <c r="H277" s="9">
        <v>150000</v>
      </c>
      <c r="I277" s="9">
        <v>750000</v>
      </c>
      <c r="J277" s="21">
        <v>45975</v>
      </c>
      <c r="K277" s="7" t="s">
        <v>1009</v>
      </c>
      <c r="L277" s="2" t="s">
        <v>40</v>
      </c>
      <c r="M277" s="2" t="s">
        <v>25</v>
      </c>
    </row>
    <row r="278" spans="1:13" x14ac:dyDescent="0.35">
      <c r="A278" s="2">
        <v>10438</v>
      </c>
      <c r="B278" s="2" t="s">
        <v>708</v>
      </c>
      <c r="C278" s="2" t="s">
        <v>709</v>
      </c>
      <c r="D278" s="2" t="s">
        <v>117</v>
      </c>
      <c r="E278" s="2" t="s">
        <v>29</v>
      </c>
      <c r="F278" s="2" t="s">
        <v>30</v>
      </c>
      <c r="G278" s="2">
        <v>5</v>
      </c>
      <c r="H278" s="9">
        <v>199000</v>
      </c>
      <c r="I278" s="9">
        <v>995000</v>
      </c>
      <c r="J278" s="21">
        <v>45934</v>
      </c>
      <c r="K278" s="7" t="s">
        <v>1014</v>
      </c>
      <c r="L278" s="2" t="s">
        <v>36</v>
      </c>
      <c r="M278" s="2" t="s">
        <v>27</v>
      </c>
    </row>
    <row r="279" spans="1:13" x14ac:dyDescent="0.35">
      <c r="A279" s="2">
        <v>10535</v>
      </c>
      <c r="B279" s="2" t="s">
        <v>211</v>
      </c>
      <c r="C279" s="2" t="s">
        <v>710</v>
      </c>
      <c r="D279" s="2" t="s">
        <v>63</v>
      </c>
      <c r="E279" s="2" t="s">
        <v>18</v>
      </c>
      <c r="F279" s="2" t="s">
        <v>70</v>
      </c>
      <c r="G279" s="2">
        <v>3</v>
      </c>
      <c r="H279" s="9">
        <v>75000</v>
      </c>
      <c r="I279" s="9">
        <v>225000</v>
      </c>
      <c r="J279" s="21">
        <v>45959</v>
      </c>
      <c r="K279" s="7" t="s">
        <v>1014</v>
      </c>
      <c r="L279" s="2" t="s">
        <v>13</v>
      </c>
      <c r="M279" s="2" t="s">
        <v>25</v>
      </c>
    </row>
    <row r="280" spans="1:13" x14ac:dyDescent="0.35">
      <c r="A280" s="2">
        <v>10268</v>
      </c>
      <c r="B280" s="2" t="s">
        <v>196</v>
      </c>
      <c r="C280" s="2" t="s">
        <v>711</v>
      </c>
      <c r="D280" s="2" t="s">
        <v>86</v>
      </c>
      <c r="E280" s="2" t="s">
        <v>15</v>
      </c>
      <c r="F280" s="2" t="s">
        <v>73</v>
      </c>
      <c r="G280" s="2">
        <v>3</v>
      </c>
      <c r="H280" s="9">
        <v>25000</v>
      </c>
      <c r="I280" s="9">
        <v>75000</v>
      </c>
      <c r="J280" s="21">
        <v>45725</v>
      </c>
      <c r="K280" s="7" t="s">
        <v>1016</v>
      </c>
      <c r="L280" s="2" t="s">
        <v>36</v>
      </c>
      <c r="M280" s="2" t="s">
        <v>14</v>
      </c>
    </row>
    <row r="281" spans="1:13" x14ac:dyDescent="0.35">
      <c r="A281" s="2">
        <v>10363</v>
      </c>
      <c r="B281" s="2" t="s">
        <v>214</v>
      </c>
      <c r="C281" s="2" t="s">
        <v>712</v>
      </c>
      <c r="D281" s="2" t="s">
        <v>117</v>
      </c>
      <c r="E281" s="2" t="s">
        <v>18</v>
      </c>
      <c r="F281" s="2" t="s">
        <v>19</v>
      </c>
      <c r="G281" s="2">
        <v>7</v>
      </c>
      <c r="H281" s="9">
        <v>250000</v>
      </c>
      <c r="I281" s="9">
        <v>1750000</v>
      </c>
      <c r="J281" s="21">
        <v>45846</v>
      </c>
      <c r="K281" s="7" t="s">
        <v>1013</v>
      </c>
      <c r="L281" s="2" t="s">
        <v>24</v>
      </c>
      <c r="M281" s="2" t="s">
        <v>14</v>
      </c>
    </row>
    <row r="282" spans="1:13" x14ac:dyDescent="0.35">
      <c r="A282" s="2">
        <v>10248</v>
      </c>
      <c r="B282" s="2" t="s">
        <v>215</v>
      </c>
      <c r="C282" s="2" t="s">
        <v>216</v>
      </c>
      <c r="D282" s="2" t="s">
        <v>82</v>
      </c>
      <c r="E282" s="2" t="s">
        <v>29</v>
      </c>
      <c r="F282" s="2" t="s">
        <v>64</v>
      </c>
      <c r="G282" s="2">
        <v>9</v>
      </c>
      <c r="H282" s="9">
        <v>99000</v>
      </c>
      <c r="I282" s="9">
        <v>891000</v>
      </c>
      <c r="J282" s="21">
        <v>45846</v>
      </c>
      <c r="K282" s="7" t="s">
        <v>1013</v>
      </c>
      <c r="L282" s="2" t="s">
        <v>24</v>
      </c>
      <c r="M282" s="2" t="s">
        <v>27</v>
      </c>
    </row>
    <row r="283" spans="1:13" x14ac:dyDescent="0.35">
      <c r="A283" s="2">
        <v>10193</v>
      </c>
      <c r="B283" s="2" t="s">
        <v>184</v>
      </c>
      <c r="C283" s="2" t="s">
        <v>713</v>
      </c>
      <c r="D283" s="2" t="s">
        <v>63</v>
      </c>
      <c r="E283" s="2" t="s">
        <v>29</v>
      </c>
      <c r="F283" s="2" t="s">
        <v>41</v>
      </c>
      <c r="G283" s="2">
        <v>7</v>
      </c>
      <c r="H283" s="9">
        <v>199000</v>
      </c>
      <c r="I283" s="9">
        <v>1393000</v>
      </c>
      <c r="J283" s="21">
        <v>45905</v>
      </c>
      <c r="K283" s="7" t="s">
        <v>1015</v>
      </c>
      <c r="L283" s="2" t="s">
        <v>13</v>
      </c>
      <c r="M283" s="2" t="s">
        <v>31</v>
      </c>
    </row>
    <row r="284" spans="1:13" x14ac:dyDescent="0.35">
      <c r="A284" s="2">
        <v>10191</v>
      </c>
      <c r="B284" s="2" t="s">
        <v>217</v>
      </c>
      <c r="C284" s="2" t="s">
        <v>218</v>
      </c>
      <c r="D284" s="2" t="s">
        <v>23</v>
      </c>
      <c r="E284" s="2" t="s">
        <v>11</v>
      </c>
      <c r="F284" s="2" t="s">
        <v>39</v>
      </c>
      <c r="G284" s="2">
        <v>10</v>
      </c>
      <c r="H284" s="9">
        <v>199000</v>
      </c>
      <c r="I284" s="9">
        <v>1990000</v>
      </c>
      <c r="J284" s="21">
        <v>45900</v>
      </c>
      <c r="K284" s="7" t="s">
        <v>1008</v>
      </c>
      <c r="L284" s="2" t="s">
        <v>17</v>
      </c>
      <c r="M284" s="2" t="s">
        <v>20</v>
      </c>
    </row>
    <row r="285" spans="1:13" x14ac:dyDescent="0.35">
      <c r="A285" s="2">
        <v>10333</v>
      </c>
      <c r="B285" s="2" t="s">
        <v>219</v>
      </c>
      <c r="C285" s="2" t="s">
        <v>220</v>
      </c>
      <c r="D285" s="2" t="s">
        <v>148</v>
      </c>
      <c r="E285" s="2" t="s">
        <v>15</v>
      </c>
      <c r="F285" s="2" t="s">
        <v>49</v>
      </c>
      <c r="G285" s="2">
        <v>4</v>
      </c>
      <c r="H285" s="9">
        <v>150000</v>
      </c>
      <c r="I285" s="9">
        <v>600000</v>
      </c>
      <c r="J285" s="21">
        <v>45774</v>
      </c>
      <c r="K285" s="7" t="s">
        <v>1012</v>
      </c>
      <c r="L285" s="2" t="s">
        <v>40</v>
      </c>
      <c r="M285" s="2" t="s">
        <v>14</v>
      </c>
    </row>
    <row r="286" spans="1:13" x14ac:dyDescent="0.35">
      <c r="A286" s="2">
        <v>10160</v>
      </c>
      <c r="B286" s="2" t="s">
        <v>643</v>
      </c>
      <c r="C286" s="2" t="s">
        <v>714</v>
      </c>
      <c r="D286" s="2" t="s">
        <v>117</v>
      </c>
      <c r="E286" s="2" t="s">
        <v>29</v>
      </c>
      <c r="F286" s="2" t="s">
        <v>67</v>
      </c>
      <c r="G286" s="2">
        <v>10</v>
      </c>
      <c r="H286" s="9">
        <v>75000</v>
      </c>
      <c r="I286" s="9">
        <v>750000</v>
      </c>
      <c r="J286" s="21">
        <v>45971</v>
      </c>
      <c r="K286" s="7" t="s">
        <v>1009</v>
      </c>
      <c r="L286" s="2" t="s">
        <v>36</v>
      </c>
      <c r="M286" s="2" t="s">
        <v>27</v>
      </c>
    </row>
    <row r="287" spans="1:13" x14ac:dyDescent="0.35">
      <c r="A287" s="2">
        <v>10417</v>
      </c>
      <c r="B287" s="2" t="s">
        <v>509</v>
      </c>
      <c r="C287" s="2" t="s">
        <v>715</v>
      </c>
      <c r="D287" s="2" t="s">
        <v>148</v>
      </c>
      <c r="E287" s="2" t="s">
        <v>18</v>
      </c>
      <c r="F287" s="2" t="s">
        <v>70</v>
      </c>
      <c r="G287" s="2">
        <v>2</v>
      </c>
      <c r="H287" s="9">
        <v>45000</v>
      </c>
      <c r="I287" s="9">
        <v>90000</v>
      </c>
      <c r="J287" s="21">
        <v>45910</v>
      </c>
      <c r="K287" s="7" t="s">
        <v>1015</v>
      </c>
      <c r="L287" s="2" t="s">
        <v>40</v>
      </c>
      <c r="M287" s="2" t="s">
        <v>27</v>
      </c>
    </row>
    <row r="288" spans="1:13" x14ac:dyDescent="0.35">
      <c r="A288" s="2">
        <v>10318</v>
      </c>
      <c r="B288" s="2" t="s">
        <v>716</v>
      </c>
      <c r="C288" s="2" t="s">
        <v>717</v>
      </c>
      <c r="D288" s="2" t="s">
        <v>82</v>
      </c>
      <c r="E288" s="2" t="s">
        <v>18</v>
      </c>
      <c r="F288" s="2" t="s">
        <v>26</v>
      </c>
      <c r="G288" s="2">
        <v>8</v>
      </c>
      <c r="H288" s="9">
        <v>120000</v>
      </c>
      <c r="I288" s="9">
        <v>960000</v>
      </c>
      <c r="J288" s="21">
        <v>45783</v>
      </c>
      <c r="K288" s="7" t="s">
        <v>1006</v>
      </c>
      <c r="L288" s="2" t="s">
        <v>13</v>
      </c>
      <c r="M288" s="2" t="s">
        <v>31</v>
      </c>
    </row>
    <row r="289" spans="1:13" x14ac:dyDescent="0.35">
      <c r="A289" s="2">
        <v>10176</v>
      </c>
      <c r="B289" s="2" t="s">
        <v>718</v>
      </c>
      <c r="C289" s="2" t="s">
        <v>719</v>
      </c>
      <c r="D289" s="2" t="s">
        <v>23</v>
      </c>
      <c r="E289" s="2" t="s">
        <v>18</v>
      </c>
      <c r="F289" s="2" t="s">
        <v>52</v>
      </c>
      <c r="G289" s="2">
        <v>6</v>
      </c>
      <c r="H289" s="9">
        <v>150000</v>
      </c>
      <c r="I289" s="9">
        <v>900000</v>
      </c>
      <c r="J289" s="21">
        <v>45811</v>
      </c>
      <c r="K289" s="7" t="s">
        <v>1007</v>
      </c>
      <c r="L289" s="2" t="s">
        <v>36</v>
      </c>
      <c r="M289" s="2" t="s">
        <v>27</v>
      </c>
    </row>
    <row r="290" spans="1:13" x14ac:dyDescent="0.35">
      <c r="A290" s="2">
        <v>10087</v>
      </c>
      <c r="B290" s="2" t="s">
        <v>720</v>
      </c>
      <c r="C290" s="2" t="s">
        <v>721</v>
      </c>
      <c r="D290" s="2" t="s">
        <v>148</v>
      </c>
      <c r="E290" s="2" t="s">
        <v>18</v>
      </c>
      <c r="F290" s="2" t="s">
        <v>19</v>
      </c>
      <c r="G290" s="2">
        <v>3</v>
      </c>
      <c r="H290" s="9">
        <v>250000</v>
      </c>
      <c r="I290" s="9">
        <v>750000</v>
      </c>
      <c r="J290" s="21">
        <v>45977</v>
      </c>
      <c r="K290" s="7" t="s">
        <v>1009</v>
      </c>
      <c r="L290" s="2" t="s">
        <v>13</v>
      </c>
      <c r="M290" s="2" t="s">
        <v>25</v>
      </c>
    </row>
    <row r="291" spans="1:13" x14ac:dyDescent="0.35">
      <c r="A291" s="2">
        <v>10244</v>
      </c>
      <c r="B291" s="2" t="s">
        <v>722</v>
      </c>
      <c r="C291" s="2" t="s">
        <v>221</v>
      </c>
      <c r="D291" s="2" t="s">
        <v>148</v>
      </c>
      <c r="E291" s="2" t="s">
        <v>29</v>
      </c>
      <c r="F291" s="2" t="s">
        <v>30</v>
      </c>
      <c r="G291" s="2">
        <v>8</v>
      </c>
      <c r="H291" s="9">
        <v>150000</v>
      </c>
      <c r="I291" s="9">
        <v>1200000</v>
      </c>
      <c r="J291" s="21">
        <v>45808</v>
      </c>
      <c r="K291" s="7" t="s">
        <v>1006</v>
      </c>
      <c r="L291" s="2" t="s">
        <v>13</v>
      </c>
      <c r="M291" s="2" t="s">
        <v>20</v>
      </c>
    </row>
    <row r="292" spans="1:13" x14ac:dyDescent="0.35">
      <c r="A292" s="2">
        <v>10207</v>
      </c>
      <c r="B292" s="2" t="s">
        <v>585</v>
      </c>
      <c r="C292" s="2" t="s">
        <v>222</v>
      </c>
      <c r="D292" s="2" t="s">
        <v>117</v>
      </c>
      <c r="E292" s="2" t="s">
        <v>29</v>
      </c>
      <c r="F292" s="2" t="s">
        <v>64</v>
      </c>
      <c r="G292" s="2">
        <v>4</v>
      </c>
      <c r="H292" s="9">
        <v>45000</v>
      </c>
      <c r="I292" s="9">
        <v>180000</v>
      </c>
      <c r="J292" s="21">
        <v>46022</v>
      </c>
      <c r="K292" s="7" t="s">
        <v>1010</v>
      </c>
      <c r="L292" s="2" t="s">
        <v>40</v>
      </c>
      <c r="M292" s="2" t="s">
        <v>25</v>
      </c>
    </row>
    <row r="293" spans="1:13" x14ac:dyDescent="0.35">
      <c r="A293" s="2">
        <v>10264</v>
      </c>
      <c r="B293" s="2" t="s">
        <v>219</v>
      </c>
      <c r="C293" s="2" t="s">
        <v>223</v>
      </c>
      <c r="D293" s="2" t="s">
        <v>82</v>
      </c>
      <c r="E293" s="2" t="s">
        <v>11</v>
      </c>
      <c r="F293" s="2" t="s">
        <v>71</v>
      </c>
      <c r="G293" s="2">
        <v>4</v>
      </c>
      <c r="H293" s="9">
        <v>99000</v>
      </c>
      <c r="I293" s="9">
        <v>396000</v>
      </c>
      <c r="J293" s="21">
        <v>45865</v>
      </c>
      <c r="K293" s="7" t="s">
        <v>1013</v>
      </c>
      <c r="L293" s="2" t="s">
        <v>24</v>
      </c>
      <c r="M293" s="2" t="s">
        <v>27</v>
      </c>
    </row>
    <row r="294" spans="1:13" x14ac:dyDescent="0.35">
      <c r="A294" s="2">
        <v>10260</v>
      </c>
      <c r="B294" s="2" t="s">
        <v>476</v>
      </c>
      <c r="C294" s="2" t="s">
        <v>224</v>
      </c>
      <c r="D294" s="2" t="s">
        <v>66</v>
      </c>
      <c r="E294" s="2" t="s">
        <v>11</v>
      </c>
      <c r="F294" s="2" t="s">
        <v>50</v>
      </c>
      <c r="G294" s="2">
        <v>3</v>
      </c>
      <c r="H294" s="9">
        <v>75000</v>
      </c>
      <c r="I294" s="9">
        <v>225000</v>
      </c>
      <c r="J294" s="21">
        <v>45859</v>
      </c>
      <c r="K294" s="7" t="s">
        <v>1013</v>
      </c>
      <c r="L294" s="2" t="s">
        <v>36</v>
      </c>
      <c r="M294" s="2" t="s">
        <v>14</v>
      </c>
    </row>
    <row r="295" spans="1:13" x14ac:dyDescent="0.35">
      <c r="A295" s="2">
        <v>10377</v>
      </c>
      <c r="B295" s="2" t="s">
        <v>723</v>
      </c>
      <c r="C295" s="2" t="s">
        <v>225</v>
      </c>
      <c r="D295" s="2" t="s">
        <v>148</v>
      </c>
      <c r="E295" s="2" t="s">
        <v>18</v>
      </c>
      <c r="F295" s="2" t="s">
        <v>70</v>
      </c>
      <c r="G295" s="2">
        <v>4</v>
      </c>
      <c r="H295" s="9">
        <v>25000</v>
      </c>
      <c r="I295" s="9">
        <v>100000</v>
      </c>
      <c r="J295" s="21">
        <v>45919</v>
      </c>
      <c r="K295" s="7" t="s">
        <v>1015</v>
      </c>
      <c r="L295" s="2" t="s">
        <v>13</v>
      </c>
      <c r="M295" s="2" t="s">
        <v>25</v>
      </c>
    </row>
    <row r="296" spans="1:13" x14ac:dyDescent="0.35">
      <c r="A296" s="2">
        <v>10340</v>
      </c>
      <c r="B296" s="2" t="s">
        <v>724</v>
      </c>
      <c r="C296" s="2" t="s">
        <v>226</v>
      </c>
      <c r="D296" s="2" t="s">
        <v>33</v>
      </c>
      <c r="E296" s="2" t="s">
        <v>11</v>
      </c>
      <c r="F296" s="2" t="s">
        <v>61</v>
      </c>
      <c r="G296" s="2">
        <v>7</v>
      </c>
      <c r="H296" s="9">
        <v>75000</v>
      </c>
      <c r="I296" s="9">
        <v>525000</v>
      </c>
      <c r="J296" s="21">
        <v>45686</v>
      </c>
      <c r="K296" s="7" t="s">
        <v>1005</v>
      </c>
      <c r="L296" s="2" t="s">
        <v>36</v>
      </c>
      <c r="M296" s="2" t="s">
        <v>31</v>
      </c>
    </row>
    <row r="297" spans="1:13" x14ac:dyDescent="0.35">
      <c r="A297" s="2">
        <v>10006</v>
      </c>
      <c r="B297" s="2" t="s">
        <v>725</v>
      </c>
      <c r="C297" s="2" t="s">
        <v>726</v>
      </c>
      <c r="D297" s="2" t="s">
        <v>148</v>
      </c>
      <c r="E297" s="2" t="s">
        <v>29</v>
      </c>
      <c r="F297" s="2" t="s">
        <v>64</v>
      </c>
      <c r="G297" s="2">
        <v>9</v>
      </c>
      <c r="H297" s="9">
        <v>199000</v>
      </c>
      <c r="I297" s="9">
        <v>1791000</v>
      </c>
      <c r="J297" s="21">
        <v>45759</v>
      </c>
      <c r="K297" s="7" t="s">
        <v>1012</v>
      </c>
      <c r="L297" s="2" t="s">
        <v>36</v>
      </c>
      <c r="M297" s="2" t="s">
        <v>25</v>
      </c>
    </row>
    <row r="298" spans="1:13" x14ac:dyDescent="0.35">
      <c r="A298" s="2">
        <v>10299</v>
      </c>
      <c r="B298" s="2" t="s">
        <v>275</v>
      </c>
      <c r="C298" s="2" t="s">
        <v>727</v>
      </c>
      <c r="D298" s="2" t="s">
        <v>82</v>
      </c>
      <c r="E298" s="2" t="s">
        <v>34</v>
      </c>
      <c r="F298" s="2" t="s">
        <v>77</v>
      </c>
      <c r="G298" s="2">
        <v>7</v>
      </c>
      <c r="H298" s="9">
        <v>45000</v>
      </c>
      <c r="I298" s="9">
        <v>315000</v>
      </c>
      <c r="J298" s="21">
        <v>45972</v>
      </c>
      <c r="K298" s="7" t="s">
        <v>1009</v>
      </c>
      <c r="L298" s="2" t="s">
        <v>24</v>
      </c>
      <c r="M298" s="2" t="s">
        <v>20</v>
      </c>
    </row>
    <row r="299" spans="1:13" x14ac:dyDescent="0.35">
      <c r="A299" s="2">
        <v>10477</v>
      </c>
      <c r="B299" s="2" t="s">
        <v>197</v>
      </c>
      <c r="C299" s="2" t="s">
        <v>227</v>
      </c>
      <c r="D299" s="2" t="s">
        <v>86</v>
      </c>
      <c r="E299" s="2" t="s">
        <v>29</v>
      </c>
      <c r="F299" s="2" t="s">
        <v>64</v>
      </c>
      <c r="G299" s="2">
        <v>8</v>
      </c>
      <c r="H299" s="9">
        <v>250000</v>
      </c>
      <c r="I299" s="9">
        <v>2000000</v>
      </c>
      <c r="J299" s="21">
        <v>45846</v>
      </c>
      <c r="K299" s="7" t="s">
        <v>1013</v>
      </c>
      <c r="L299" s="2" t="s">
        <v>17</v>
      </c>
      <c r="M299" s="2" t="s">
        <v>14</v>
      </c>
    </row>
    <row r="300" spans="1:13" x14ac:dyDescent="0.35">
      <c r="A300" s="2">
        <v>10567</v>
      </c>
      <c r="B300" s="2" t="s">
        <v>194</v>
      </c>
      <c r="C300" s="2" t="s">
        <v>728</v>
      </c>
      <c r="D300" s="2" t="s">
        <v>82</v>
      </c>
      <c r="E300" s="2" t="s">
        <v>34</v>
      </c>
      <c r="F300" s="2" t="s">
        <v>47</v>
      </c>
      <c r="G300" s="2">
        <v>2</v>
      </c>
      <c r="H300" s="9">
        <v>35000</v>
      </c>
      <c r="I300" s="9">
        <v>70000</v>
      </c>
      <c r="J300" s="21">
        <v>45895</v>
      </c>
      <c r="K300" s="7" t="s">
        <v>1008</v>
      </c>
      <c r="L300" s="2" t="s">
        <v>17</v>
      </c>
      <c r="M300" s="2" t="s">
        <v>14</v>
      </c>
    </row>
    <row r="301" spans="1:13" x14ac:dyDescent="0.35">
      <c r="A301" s="2">
        <v>10549</v>
      </c>
      <c r="B301" s="2" t="s">
        <v>228</v>
      </c>
      <c r="C301" s="2" t="s">
        <v>229</v>
      </c>
      <c r="D301" s="2" t="s">
        <v>63</v>
      </c>
      <c r="E301" s="2" t="s">
        <v>11</v>
      </c>
      <c r="F301" s="2" t="s">
        <v>39</v>
      </c>
      <c r="G301" s="2">
        <v>8</v>
      </c>
      <c r="H301" s="9">
        <v>99000</v>
      </c>
      <c r="I301" s="9">
        <v>792000</v>
      </c>
      <c r="J301" s="21">
        <v>45951</v>
      </c>
      <c r="K301" s="7" t="s">
        <v>1014</v>
      </c>
      <c r="L301" s="2" t="s">
        <v>13</v>
      </c>
      <c r="M301" s="2" t="s">
        <v>27</v>
      </c>
    </row>
    <row r="302" spans="1:13" x14ac:dyDescent="0.35">
      <c r="A302" s="2">
        <v>10515</v>
      </c>
      <c r="B302" s="2" t="s">
        <v>355</v>
      </c>
      <c r="C302" s="2" t="s">
        <v>729</v>
      </c>
      <c r="D302" s="2" t="s">
        <v>117</v>
      </c>
      <c r="E302" s="2" t="s">
        <v>15</v>
      </c>
      <c r="F302" s="2" t="s">
        <v>16</v>
      </c>
      <c r="G302" s="2">
        <v>6</v>
      </c>
      <c r="H302" s="9">
        <v>45000</v>
      </c>
      <c r="I302" s="9">
        <v>270000</v>
      </c>
      <c r="J302" s="21">
        <v>45960</v>
      </c>
      <c r="K302" s="7" t="s">
        <v>1014</v>
      </c>
      <c r="L302" s="2" t="s">
        <v>13</v>
      </c>
      <c r="M302" s="2" t="s">
        <v>27</v>
      </c>
    </row>
    <row r="303" spans="1:13" x14ac:dyDescent="0.35">
      <c r="A303" s="2">
        <v>10546</v>
      </c>
      <c r="B303" s="2" t="s">
        <v>730</v>
      </c>
      <c r="C303" s="2" t="s">
        <v>731</v>
      </c>
      <c r="D303" s="2" t="s">
        <v>63</v>
      </c>
      <c r="E303" s="2" t="s">
        <v>29</v>
      </c>
      <c r="F303" s="2" t="s">
        <v>81</v>
      </c>
      <c r="G303" s="2">
        <v>6</v>
      </c>
      <c r="H303" s="9">
        <v>99000</v>
      </c>
      <c r="I303" s="9">
        <v>594000</v>
      </c>
      <c r="J303" s="21">
        <v>46019</v>
      </c>
      <c r="K303" s="7" t="s">
        <v>1010</v>
      </c>
      <c r="L303" s="2" t="s">
        <v>13</v>
      </c>
      <c r="M303" s="2" t="s">
        <v>20</v>
      </c>
    </row>
    <row r="304" spans="1:13" x14ac:dyDescent="0.35">
      <c r="A304" s="2">
        <v>10116</v>
      </c>
      <c r="B304" s="2" t="s">
        <v>732</v>
      </c>
      <c r="C304" s="2" t="s">
        <v>230</v>
      </c>
      <c r="D304" s="2" t="s">
        <v>86</v>
      </c>
      <c r="E304" s="2" t="s">
        <v>29</v>
      </c>
      <c r="F304" s="2" t="s">
        <v>64</v>
      </c>
      <c r="G304" s="2">
        <v>7</v>
      </c>
      <c r="H304" s="9">
        <v>120000</v>
      </c>
      <c r="I304" s="9">
        <v>840000</v>
      </c>
      <c r="J304" s="21">
        <v>45947</v>
      </c>
      <c r="K304" s="7" t="s">
        <v>1014</v>
      </c>
      <c r="L304" s="2" t="s">
        <v>36</v>
      </c>
      <c r="M304" s="2" t="s">
        <v>31</v>
      </c>
    </row>
    <row r="305" spans="1:13" x14ac:dyDescent="0.35">
      <c r="A305" s="2">
        <v>10131</v>
      </c>
      <c r="B305" s="2" t="s">
        <v>559</v>
      </c>
      <c r="C305" s="2" t="s">
        <v>231</v>
      </c>
      <c r="D305" s="2" t="s">
        <v>82</v>
      </c>
      <c r="E305" s="2" t="s">
        <v>18</v>
      </c>
      <c r="F305" s="2" t="s">
        <v>19</v>
      </c>
      <c r="G305" s="2">
        <v>9</v>
      </c>
      <c r="H305" s="9">
        <v>35000</v>
      </c>
      <c r="I305" s="9">
        <v>315000</v>
      </c>
      <c r="J305" s="21">
        <v>45908</v>
      </c>
      <c r="K305" s="7" t="s">
        <v>1015</v>
      </c>
      <c r="L305" s="2" t="s">
        <v>17</v>
      </c>
      <c r="M305" s="2" t="s">
        <v>31</v>
      </c>
    </row>
    <row r="306" spans="1:13" x14ac:dyDescent="0.35">
      <c r="A306" s="2">
        <v>10486</v>
      </c>
      <c r="B306" s="2" t="s">
        <v>115</v>
      </c>
      <c r="C306" s="2" t="s">
        <v>733</v>
      </c>
      <c r="D306" s="2" t="s">
        <v>46</v>
      </c>
      <c r="E306" s="2" t="s">
        <v>11</v>
      </c>
      <c r="F306" s="2" t="s">
        <v>50</v>
      </c>
      <c r="G306" s="2">
        <v>3</v>
      </c>
      <c r="H306" s="9">
        <v>250000</v>
      </c>
      <c r="I306" s="9">
        <v>750000</v>
      </c>
      <c r="J306" s="21">
        <v>45895</v>
      </c>
      <c r="K306" s="7" t="s">
        <v>1008</v>
      </c>
      <c r="L306" s="2" t="s">
        <v>24</v>
      </c>
      <c r="M306" s="2" t="s">
        <v>14</v>
      </c>
    </row>
    <row r="307" spans="1:13" x14ac:dyDescent="0.35">
      <c r="A307" s="2">
        <v>10326</v>
      </c>
      <c r="B307" s="2" t="s">
        <v>734</v>
      </c>
      <c r="C307" s="2" t="s">
        <v>436</v>
      </c>
      <c r="D307" s="2" t="s">
        <v>82</v>
      </c>
      <c r="E307" s="2" t="s">
        <v>15</v>
      </c>
      <c r="F307" s="2" t="s">
        <v>73</v>
      </c>
      <c r="G307" s="2">
        <v>8</v>
      </c>
      <c r="H307" s="9">
        <v>25000</v>
      </c>
      <c r="I307" s="9">
        <v>200000</v>
      </c>
      <c r="J307" s="21">
        <v>45968</v>
      </c>
      <c r="K307" s="7" t="s">
        <v>1009</v>
      </c>
      <c r="L307" s="2" t="s">
        <v>13</v>
      </c>
      <c r="M307" s="2" t="s">
        <v>27</v>
      </c>
    </row>
    <row r="308" spans="1:13" x14ac:dyDescent="0.35">
      <c r="A308" s="2">
        <v>10550</v>
      </c>
      <c r="B308" s="2" t="s">
        <v>232</v>
      </c>
      <c r="C308" s="2" t="s">
        <v>233</v>
      </c>
      <c r="D308" s="2" t="s">
        <v>46</v>
      </c>
      <c r="E308" s="2" t="s">
        <v>11</v>
      </c>
      <c r="F308" s="2" t="s">
        <v>61</v>
      </c>
      <c r="G308" s="2">
        <v>5</v>
      </c>
      <c r="H308" s="9">
        <v>250000</v>
      </c>
      <c r="I308" s="9">
        <v>1250000</v>
      </c>
      <c r="J308" s="21">
        <v>45880</v>
      </c>
      <c r="K308" s="7" t="s">
        <v>1008</v>
      </c>
      <c r="L308" s="2" t="s">
        <v>24</v>
      </c>
      <c r="M308" s="2" t="s">
        <v>14</v>
      </c>
    </row>
    <row r="309" spans="1:13" x14ac:dyDescent="0.35">
      <c r="A309" s="2">
        <v>10450</v>
      </c>
      <c r="B309" s="2" t="s">
        <v>735</v>
      </c>
      <c r="C309" s="2" t="s">
        <v>736</v>
      </c>
      <c r="D309" s="2" t="s">
        <v>86</v>
      </c>
      <c r="E309" s="2" t="s">
        <v>34</v>
      </c>
      <c r="F309" s="2" t="s">
        <v>77</v>
      </c>
      <c r="G309" s="2">
        <v>9</v>
      </c>
      <c r="H309" s="9">
        <v>45000</v>
      </c>
      <c r="I309" s="9">
        <v>405000</v>
      </c>
      <c r="J309" s="21">
        <v>45960</v>
      </c>
      <c r="K309" s="7" t="s">
        <v>1014</v>
      </c>
      <c r="L309" s="2" t="s">
        <v>17</v>
      </c>
      <c r="M309" s="2" t="s">
        <v>25</v>
      </c>
    </row>
    <row r="310" spans="1:13" x14ac:dyDescent="0.35">
      <c r="A310" s="2">
        <v>10036</v>
      </c>
      <c r="B310" s="2" t="s">
        <v>737</v>
      </c>
      <c r="C310" s="2" t="s">
        <v>436</v>
      </c>
      <c r="D310" s="2" t="s">
        <v>117</v>
      </c>
      <c r="E310" s="2" t="s">
        <v>15</v>
      </c>
      <c r="F310" s="2" t="s">
        <v>73</v>
      </c>
      <c r="G310" s="32">
        <v>10</v>
      </c>
      <c r="H310" s="9">
        <v>99000</v>
      </c>
      <c r="I310" s="9">
        <f>G310*H310</f>
        <v>990000</v>
      </c>
      <c r="J310" s="21">
        <v>45814</v>
      </c>
      <c r="K310" s="7" t="s">
        <v>1007</v>
      </c>
      <c r="L310" s="2" t="s">
        <v>13</v>
      </c>
      <c r="M310" s="2" t="s">
        <v>27</v>
      </c>
    </row>
    <row r="311" spans="1:13" x14ac:dyDescent="0.35">
      <c r="A311" s="2">
        <v>10079</v>
      </c>
      <c r="B311" s="2" t="s">
        <v>234</v>
      </c>
      <c r="C311" s="2" t="s">
        <v>738</v>
      </c>
      <c r="D311" s="2" t="s">
        <v>86</v>
      </c>
      <c r="E311" s="2" t="s">
        <v>29</v>
      </c>
      <c r="F311" s="2" t="s">
        <v>67</v>
      </c>
      <c r="G311" s="2">
        <v>1</v>
      </c>
      <c r="H311" s="9">
        <v>75000</v>
      </c>
      <c r="I311" s="9">
        <v>75000</v>
      </c>
      <c r="J311" s="21">
        <v>45875</v>
      </c>
      <c r="K311" s="7" t="s">
        <v>1008</v>
      </c>
      <c r="L311" s="2" t="s">
        <v>13</v>
      </c>
      <c r="M311" s="2" t="s">
        <v>20</v>
      </c>
    </row>
    <row r="312" spans="1:13" x14ac:dyDescent="0.35">
      <c r="A312" s="2">
        <v>10379</v>
      </c>
      <c r="B312" s="2" t="s">
        <v>563</v>
      </c>
      <c r="C312" s="2" t="s">
        <v>739</v>
      </c>
      <c r="D312" s="2" t="s">
        <v>63</v>
      </c>
      <c r="E312" s="2" t="s">
        <v>34</v>
      </c>
      <c r="F312" s="2" t="s">
        <v>35</v>
      </c>
      <c r="G312" s="2">
        <v>6</v>
      </c>
      <c r="H312" s="9">
        <v>150000</v>
      </c>
      <c r="I312" s="9">
        <v>900000</v>
      </c>
      <c r="J312" s="21">
        <v>45956</v>
      </c>
      <c r="K312" s="7" t="s">
        <v>1014</v>
      </c>
      <c r="L312" s="2" t="s">
        <v>36</v>
      </c>
      <c r="M312" s="2" t="s">
        <v>25</v>
      </c>
    </row>
    <row r="313" spans="1:13" x14ac:dyDescent="0.35">
      <c r="A313" s="2">
        <v>10243</v>
      </c>
      <c r="B313" s="2" t="s">
        <v>366</v>
      </c>
      <c r="C313" s="2" t="s">
        <v>740</v>
      </c>
      <c r="D313" s="2" t="s">
        <v>148</v>
      </c>
      <c r="E313" s="2" t="s">
        <v>29</v>
      </c>
      <c r="F313" s="2" t="s">
        <v>41</v>
      </c>
      <c r="G313" s="2">
        <v>6</v>
      </c>
      <c r="H313" s="9">
        <v>250000</v>
      </c>
      <c r="I313" s="9">
        <v>1500000</v>
      </c>
      <c r="J313" s="21">
        <v>45688</v>
      </c>
      <c r="K313" s="7" t="s">
        <v>1005</v>
      </c>
      <c r="L313" s="2" t="s">
        <v>24</v>
      </c>
      <c r="M313" s="2" t="s">
        <v>25</v>
      </c>
    </row>
    <row r="314" spans="1:13" x14ac:dyDescent="0.35">
      <c r="A314" s="2">
        <v>10156</v>
      </c>
      <c r="B314" s="2" t="s">
        <v>741</v>
      </c>
      <c r="C314" s="2" t="s">
        <v>742</v>
      </c>
      <c r="D314" s="2" t="s">
        <v>66</v>
      </c>
      <c r="E314" s="2" t="s">
        <v>18</v>
      </c>
      <c r="F314" s="2" t="s">
        <v>19</v>
      </c>
      <c r="G314" s="2">
        <v>1</v>
      </c>
      <c r="H314" s="9">
        <v>50000</v>
      </c>
      <c r="I314" s="9">
        <v>50000</v>
      </c>
      <c r="J314" s="21">
        <v>45687</v>
      </c>
      <c r="K314" s="7" t="s">
        <v>1005</v>
      </c>
      <c r="L314" s="2" t="s">
        <v>40</v>
      </c>
      <c r="M314" s="2" t="s">
        <v>27</v>
      </c>
    </row>
    <row r="315" spans="1:13" x14ac:dyDescent="0.35">
      <c r="A315" s="2">
        <v>10339</v>
      </c>
      <c r="B315" s="2" t="s">
        <v>545</v>
      </c>
      <c r="C315" s="2" t="s">
        <v>743</v>
      </c>
      <c r="D315" s="2" t="s">
        <v>63</v>
      </c>
      <c r="E315" s="2" t="s">
        <v>18</v>
      </c>
      <c r="F315" s="2" t="s">
        <v>57</v>
      </c>
      <c r="G315" s="2">
        <v>7</v>
      </c>
      <c r="H315" s="9">
        <v>50000</v>
      </c>
      <c r="I315" s="9">
        <v>350000</v>
      </c>
      <c r="J315" s="21">
        <v>45911</v>
      </c>
      <c r="K315" s="7" t="s">
        <v>1015</v>
      </c>
      <c r="L315" s="2" t="s">
        <v>13</v>
      </c>
      <c r="M315" s="2" t="s">
        <v>20</v>
      </c>
    </row>
    <row r="316" spans="1:13" x14ac:dyDescent="0.35">
      <c r="A316" s="2">
        <v>10414</v>
      </c>
      <c r="B316" s="2" t="s">
        <v>744</v>
      </c>
      <c r="C316" s="2" t="s">
        <v>745</v>
      </c>
      <c r="D316" s="2" t="s">
        <v>86</v>
      </c>
      <c r="E316" s="2" t="s">
        <v>34</v>
      </c>
      <c r="F316" s="2" t="s">
        <v>45</v>
      </c>
      <c r="G316" s="2">
        <v>9</v>
      </c>
      <c r="H316" s="9">
        <v>25000</v>
      </c>
      <c r="I316" s="9">
        <v>225000</v>
      </c>
      <c r="J316" s="21">
        <v>45890</v>
      </c>
      <c r="K316" s="7" t="s">
        <v>1008</v>
      </c>
      <c r="L316" s="2" t="s">
        <v>24</v>
      </c>
      <c r="M316" s="2" t="s">
        <v>25</v>
      </c>
    </row>
    <row r="317" spans="1:13" x14ac:dyDescent="0.35">
      <c r="A317" s="2">
        <v>10157</v>
      </c>
      <c r="B317" s="2" t="s">
        <v>746</v>
      </c>
      <c r="C317" s="2" t="s">
        <v>235</v>
      </c>
      <c r="D317" s="2" t="s">
        <v>148</v>
      </c>
      <c r="E317" s="2" t="s">
        <v>34</v>
      </c>
      <c r="F317" s="2" t="s">
        <v>77</v>
      </c>
      <c r="G317" s="2">
        <v>6</v>
      </c>
      <c r="H317" s="9">
        <v>75000</v>
      </c>
      <c r="I317" s="9">
        <v>450000</v>
      </c>
      <c r="J317" s="21">
        <v>45960</v>
      </c>
      <c r="K317" s="7" t="s">
        <v>1014</v>
      </c>
      <c r="L317" s="2" t="s">
        <v>24</v>
      </c>
      <c r="M317" s="2" t="s">
        <v>25</v>
      </c>
    </row>
    <row r="318" spans="1:13" x14ac:dyDescent="0.35">
      <c r="A318" s="2">
        <v>10427</v>
      </c>
      <c r="B318" s="2" t="s">
        <v>58</v>
      </c>
      <c r="C318" s="2" t="s">
        <v>747</v>
      </c>
      <c r="D318" s="2" t="s">
        <v>82</v>
      </c>
      <c r="E318" s="2" t="s">
        <v>34</v>
      </c>
      <c r="F318" s="2" t="s">
        <v>37</v>
      </c>
      <c r="G318" s="32">
        <v>4</v>
      </c>
      <c r="H318" s="9">
        <v>99000</v>
      </c>
      <c r="I318" s="9">
        <f>G318*H318</f>
        <v>396000</v>
      </c>
      <c r="J318" s="21">
        <v>45748</v>
      </c>
      <c r="K318" s="7" t="s">
        <v>1012</v>
      </c>
      <c r="L318" s="2" t="s">
        <v>13</v>
      </c>
      <c r="M318" s="2" t="s">
        <v>31</v>
      </c>
    </row>
    <row r="319" spans="1:13" x14ac:dyDescent="0.35">
      <c r="A319" s="2">
        <v>10288</v>
      </c>
      <c r="B319" s="2" t="s">
        <v>748</v>
      </c>
      <c r="C319" s="2" t="s">
        <v>749</v>
      </c>
      <c r="D319" s="2" t="s">
        <v>46</v>
      </c>
      <c r="E319" s="2" t="s">
        <v>18</v>
      </c>
      <c r="F319" s="2" t="s">
        <v>52</v>
      </c>
      <c r="G319" s="2">
        <v>4</v>
      </c>
      <c r="H319" s="9">
        <v>150000</v>
      </c>
      <c r="I319" s="9">
        <v>600000</v>
      </c>
      <c r="J319" s="21">
        <v>45795</v>
      </c>
      <c r="K319" s="7" t="s">
        <v>1006</v>
      </c>
      <c r="L319" s="2" t="s">
        <v>40</v>
      </c>
      <c r="M319" s="2" t="s">
        <v>27</v>
      </c>
    </row>
    <row r="320" spans="1:13" x14ac:dyDescent="0.35">
      <c r="A320" s="2">
        <v>10456</v>
      </c>
      <c r="B320" s="2" t="s">
        <v>620</v>
      </c>
      <c r="C320" s="2" t="s">
        <v>236</v>
      </c>
      <c r="D320" s="2" t="s">
        <v>82</v>
      </c>
      <c r="E320" s="2" t="s">
        <v>18</v>
      </c>
      <c r="F320" s="2" t="s">
        <v>57</v>
      </c>
      <c r="G320" s="2">
        <v>7</v>
      </c>
      <c r="H320" s="9">
        <v>15000</v>
      </c>
      <c r="I320" s="9">
        <v>105000</v>
      </c>
      <c r="J320" s="21">
        <v>45973</v>
      </c>
      <c r="K320" s="7" t="s">
        <v>1009</v>
      </c>
      <c r="L320" s="2" t="s">
        <v>36</v>
      </c>
      <c r="M320" s="2" t="s">
        <v>14</v>
      </c>
    </row>
    <row r="321" spans="1:13" x14ac:dyDescent="0.35">
      <c r="A321" s="2">
        <v>10527</v>
      </c>
      <c r="B321" s="2" t="s">
        <v>750</v>
      </c>
      <c r="C321" s="2" t="s">
        <v>751</v>
      </c>
      <c r="D321" s="2" t="s">
        <v>117</v>
      </c>
      <c r="E321" s="2" t="s">
        <v>11</v>
      </c>
      <c r="F321" s="2" t="s">
        <v>39</v>
      </c>
      <c r="G321" s="2">
        <v>3</v>
      </c>
      <c r="H321" s="9">
        <v>250000</v>
      </c>
      <c r="I321" s="9">
        <v>750000</v>
      </c>
      <c r="J321" s="21">
        <v>45760</v>
      </c>
      <c r="K321" s="7" t="s">
        <v>1012</v>
      </c>
      <c r="L321" s="2" t="s">
        <v>17</v>
      </c>
      <c r="M321" s="2" t="s">
        <v>31</v>
      </c>
    </row>
    <row r="322" spans="1:13" x14ac:dyDescent="0.35">
      <c r="A322" s="2">
        <v>10013</v>
      </c>
      <c r="B322" s="2" t="s">
        <v>752</v>
      </c>
      <c r="C322" s="2" t="s">
        <v>237</v>
      </c>
      <c r="D322" s="2" t="s">
        <v>46</v>
      </c>
      <c r="E322" s="2" t="s">
        <v>18</v>
      </c>
      <c r="F322" s="2" t="s">
        <v>70</v>
      </c>
      <c r="G322" s="2">
        <v>5</v>
      </c>
      <c r="H322" s="9">
        <v>45000</v>
      </c>
      <c r="I322" s="9">
        <v>225000</v>
      </c>
      <c r="J322" s="21">
        <v>45912</v>
      </c>
      <c r="K322" s="7" t="s">
        <v>1015</v>
      </c>
      <c r="L322" s="2" t="s">
        <v>17</v>
      </c>
      <c r="M322" s="2" t="s">
        <v>31</v>
      </c>
    </row>
    <row r="323" spans="1:13" x14ac:dyDescent="0.35">
      <c r="A323" s="2">
        <v>10556</v>
      </c>
      <c r="B323" s="2" t="s">
        <v>566</v>
      </c>
      <c r="C323" s="2" t="s">
        <v>753</v>
      </c>
      <c r="D323" s="2" t="s">
        <v>117</v>
      </c>
      <c r="E323" s="2" t="s">
        <v>29</v>
      </c>
      <c r="F323" s="2" t="s">
        <v>64</v>
      </c>
      <c r="G323" s="2">
        <v>9</v>
      </c>
      <c r="H323" s="9">
        <v>150000</v>
      </c>
      <c r="I323" s="9">
        <v>1350000</v>
      </c>
      <c r="J323" s="21">
        <v>45697</v>
      </c>
      <c r="K323" s="7" t="s">
        <v>1011</v>
      </c>
      <c r="L323" s="2" t="s">
        <v>17</v>
      </c>
      <c r="M323" s="2" t="s">
        <v>20</v>
      </c>
    </row>
    <row r="324" spans="1:13" x14ac:dyDescent="0.35">
      <c r="A324" s="2">
        <v>10049</v>
      </c>
      <c r="B324" s="2" t="s">
        <v>603</v>
      </c>
      <c r="C324" s="2" t="s">
        <v>754</v>
      </c>
      <c r="D324" s="2" t="s">
        <v>86</v>
      </c>
      <c r="E324" s="2" t="s">
        <v>15</v>
      </c>
      <c r="F324" s="2" t="s">
        <v>49</v>
      </c>
      <c r="G324" s="2">
        <v>2</v>
      </c>
      <c r="H324" s="9">
        <v>45000</v>
      </c>
      <c r="I324" s="9">
        <v>90000</v>
      </c>
      <c r="J324" s="21">
        <v>45853</v>
      </c>
      <c r="K324" s="7" t="s">
        <v>1013</v>
      </c>
      <c r="L324" s="2" t="s">
        <v>13</v>
      </c>
      <c r="M324" s="2" t="s">
        <v>25</v>
      </c>
    </row>
    <row r="325" spans="1:13" x14ac:dyDescent="0.35">
      <c r="A325" s="2">
        <v>10075</v>
      </c>
      <c r="B325" s="2" t="s">
        <v>755</v>
      </c>
      <c r="C325" s="2" t="s">
        <v>756</v>
      </c>
      <c r="D325" s="2" t="s">
        <v>33</v>
      </c>
      <c r="E325" s="2" t="s">
        <v>34</v>
      </c>
      <c r="F325" s="2" t="s">
        <v>35</v>
      </c>
      <c r="G325" s="2">
        <v>6</v>
      </c>
      <c r="H325" s="9">
        <v>25000</v>
      </c>
      <c r="I325" s="9">
        <v>150000</v>
      </c>
      <c r="J325" s="21">
        <v>45990</v>
      </c>
      <c r="K325" s="7" t="s">
        <v>1009</v>
      </c>
      <c r="L325" s="2" t="s">
        <v>17</v>
      </c>
      <c r="M325" s="2" t="s">
        <v>31</v>
      </c>
    </row>
    <row r="326" spans="1:13" x14ac:dyDescent="0.35">
      <c r="A326" s="2">
        <v>10071</v>
      </c>
      <c r="B326" s="2" t="s">
        <v>757</v>
      </c>
      <c r="C326" s="2" t="s">
        <v>758</v>
      </c>
      <c r="D326" s="2" t="s">
        <v>59</v>
      </c>
      <c r="E326" s="2" t="s">
        <v>11</v>
      </c>
      <c r="F326" s="2" t="s">
        <v>61</v>
      </c>
      <c r="G326" s="2">
        <v>3</v>
      </c>
      <c r="H326" s="9">
        <v>45000</v>
      </c>
      <c r="I326" s="9">
        <v>135000</v>
      </c>
      <c r="J326" s="21">
        <v>45832</v>
      </c>
      <c r="K326" s="7" t="s">
        <v>1007</v>
      </c>
      <c r="L326" s="2" t="s">
        <v>40</v>
      </c>
      <c r="M326" s="2" t="s">
        <v>31</v>
      </c>
    </row>
    <row r="327" spans="1:13" x14ac:dyDescent="0.35">
      <c r="A327" s="2">
        <v>10585</v>
      </c>
      <c r="B327" s="2" t="s">
        <v>640</v>
      </c>
      <c r="C327" s="2" t="s">
        <v>759</v>
      </c>
      <c r="D327" s="2" t="s">
        <v>33</v>
      </c>
      <c r="E327" s="2" t="s">
        <v>11</v>
      </c>
      <c r="F327" s="2" t="s">
        <v>39</v>
      </c>
      <c r="G327" s="2">
        <v>1</v>
      </c>
      <c r="H327" s="9">
        <v>199000</v>
      </c>
      <c r="I327" s="9">
        <v>199000</v>
      </c>
      <c r="J327" s="21">
        <v>45797</v>
      </c>
      <c r="K327" s="7" t="s">
        <v>1006</v>
      </c>
      <c r="L327" s="2" t="s">
        <v>24</v>
      </c>
      <c r="M327" s="2" t="s">
        <v>25</v>
      </c>
    </row>
    <row r="328" spans="1:13" x14ac:dyDescent="0.35">
      <c r="A328" s="2">
        <v>10140</v>
      </c>
      <c r="B328" s="2" t="s">
        <v>125</v>
      </c>
      <c r="C328" s="2" t="s">
        <v>760</v>
      </c>
      <c r="D328" s="2" t="s">
        <v>148</v>
      </c>
      <c r="E328" s="2" t="s">
        <v>11</v>
      </c>
      <c r="F328" s="2" t="s">
        <v>50</v>
      </c>
      <c r="G328" s="2">
        <v>3</v>
      </c>
      <c r="H328" s="9">
        <v>99000</v>
      </c>
      <c r="I328" s="9">
        <v>297000</v>
      </c>
      <c r="J328" s="21">
        <v>46002</v>
      </c>
      <c r="K328" s="7" t="s">
        <v>1010</v>
      </c>
      <c r="L328" s="2" t="s">
        <v>40</v>
      </c>
      <c r="M328" s="2" t="s">
        <v>31</v>
      </c>
    </row>
    <row r="329" spans="1:13" x14ac:dyDescent="0.35">
      <c r="A329" s="2">
        <v>10538</v>
      </c>
      <c r="B329" s="2" t="s">
        <v>125</v>
      </c>
      <c r="C329" s="2" t="s">
        <v>238</v>
      </c>
      <c r="D329" s="2" t="s">
        <v>23</v>
      </c>
      <c r="E329" s="2" t="s">
        <v>34</v>
      </c>
      <c r="F329" s="2" t="s">
        <v>35</v>
      </c>
      <c r="G329" s="2">
        <v>6</v>
      </c>
      <c r="H329" s="9">
        <v>99000</v>
      </c>
      <c r="I329" s="9">
        <v>594000</v>
      </c>
      <c r="J329" s="21">
        <v>45948</v>
      </c>
      <c r="K329" s="7" t="s">
        <v>1014</v>
      </c>
      <c r="L329" s="2" t="s">
        <v>13</v>
      </c>
      <c r="M329" s="2" t="s">
        <v>14</v>
      </c>
    </row>
    <row r="330" spans="1:13" x14ac:dyDescent="0.35">
      <c r="A330" s="2">
        <v>10593</v>
      </c>
      <c r="B330" s="2" t="s">
        <v>155</v>
      </c>
      <c r="C330" s="2" t="s">
        <v>761</v>
      </c>
      <c r="D330" s="2" t="s">
        <v>59</v>
      </c>
      <c r="E330" s="2" t="s">
        <v>34</v>
      </c>
      <c r="F330" s="2" t="s">
        <v>47</v>
      </c>
      <c r="G330" s="2">
        <v>9</v>
      </c>
      <c r="H330" s="9">
        <v>35000</v>
      </c>
      <c r="I330" s="9">
        <v>315000</v>
      </c>
      <c r="J330" s="21">
        <v>45669</v>
      </c>
      <c r="K330" s="7" t="s">
        <v>1005</v>
      </c>
      <c r="L330" s="2" t="s">
        <v>40</v>
      </c>
      <c r="M330" s="2" t="s">
        <v>27</v>
      </c>
    </row>
    <row r="331" spans="1:13" x14ac:dyDescent="0.35">
      <c r="A331" s="2">
        <v>10504</v>
      </c>
      <c r="B331" s="2" t="s">
        <v>762</v>
      </c>
      <c r="C331" s="2" t="s">
        <v>763</v>
      </c>
      <c r="D331" s="2" t="s">
        <v>82</v>
      </c>
      <c r="E331" s="2" t="s">
        <v>18</v>
      </c>
      <c r="F331" s="2" t="s">
        <v>26</v>
      </c>
      <c r="G331" s="2">
        <v>1</v>
      </c>
      <c r="H331" s="9">
        <v>35000</v>
      </c>
      <c r="I331" s="9">
        <v>35000</v>
      </c>
      <c r="J331" s="21">
        <v>45925</v>
      </c>
      <c r="K331" s="7" t="s">
        <v>1015</v>
      </c>
      <c r="L331" s="2" t="s">
        <v>17</v>
      </c>
      <c r="M331" s="2" t="s">
        <v>14</v>
      </c>
    </row>
    <row r="332" spans="1:13" x14ac:dyDescent="0.35">
      <c r="A332" s="2">
        <v>10559</v>
      </c>
      <c r="B332" s="2" t="s">
        <v>239</v>
      </c>
      <c r="C332" s="2" t="s">
        <v>764</v>
      </c>
      <c r="D332" s="2" t="s">
        <v>59</v>
      </c>
      <c r="E332" s="2" t="s">
        <v>15</v>
      </c>
      <c r="F332" s="2" t="s">
        <v>49</v>
      </c>
      <c r="G332" s="2">
        <v>7</v>
      </c>
      <c r="H332" s="9">
        <v>50000</v>
      </c>
      <c r="I332" s="9">
        <v>350000</v>
      </c>
      <c r="J332" s="21">
        <v>45697</v>
      </c>
      <c r="K332" s="7" t="s">
        <v>1011</v>
      </c>
      <c r="L332" s="2" t="s">
        <v>36</v>
      </c>
      <c r="M332" s="2" t="s">
        <v>31</v>
      </c>
    </row>
    <row r="333" spans="1:13" x14ac:dyDescent="0.35">
      <c r="A333" s="2">
        <v>10506</v>
      </c>
      <c r="B333" s="2" t="s">
        <v>478</v>
      </c>
      <c r="C333" s="2" t="s">
        <v>765</v>
      </c>
      <c r="D333" s="2" t="s">
        <v>46</v>
      </c>
      <c r="E333" s="2" t="s">
        <v>34</v>
      </c>
      <c r="F333" s="2" t="s">
        <v>37</v>
      </c>
      <c r="G333" s="2">
        <v>8</v>
      </c>
      <c r="H333" s="9">
        <v>99000</v>
      </c>
      <c r="I333" s="9">
        <v>792000</v>
      </c>
      <c r="J333" s="21">
        <v>45886</v>
      </c>
      <c r="K333" s="7" t="s">
        <v>1008</v>
      </c>
      <c r="L333" s="2" t="s">
        <v>40</v>
      </c>
      <c r="M333" s="2" t="s">
        <v>27</v>
      </c>
    </row>
    <row r="334" spans="1:13" x14ac:dyDescent="0.35">
      <c r="A334" s="2">
        <v>10151</v>
      </c>
      <c r="B334" s="2" t="s">
        <v>58</v>
      </c>
      <c r="C334" s="2" t="s">
        <v>766</v>
      </c>
      <c r="D334" s="2" t="s">
        <v>148</v>
      </c>
      <c r="E334" s="2" t="s">
        <v>29</v>
      </c>
      <c r="F334" s="2" t="s">
        <v>67</v>
      </c>
      <c r="G334" s="2">
        <v>2</v>
      </c>
      <c r="H334" s="9">
        <v>35000</v>
      </c>
      <c r="I334" s="9">
        <v>70000</v>
      </c>
      <c r="J334" s="21">
        <v>45888</v>
      </c>
      <c r="K334" s="7" t="s">
        <v>1008</v>
      </c>
      <c r="L334" s="2" t="s">
        <v>40</v>
      </c>
      <c r="M334" s="2" t="s">
        <v>25</v>
      </c>
    </row>
    <row r="335" spans="1:13" x14ac:dyDescent="0.35">
      <c r="A335" s="2">
        <v>10175</v>
      </c>
      <c r="B335" s="2" t="s">
        <v>337</v>
      </c>
      <c r="C335" s="2" t="s">
        <v>240</v>
      </c>
      <c r="D335" s="2" t="s">
        <v>86</v>
      </c>
      <c r="E335" s="2" t="s">
        <v>11</v>
      </c>
      <c r="F335" s="2" t="s">
        <v>50</v>
      </c>
      <c r="G335" s="2">
        <v>3</v>
      </c>
      <c r="H335" s="9">
        <v>150000</v>
      </c>
      <c r="I335" s="9">
        <v>450000</v>
      </c>
      <c r="J335" s="21">
        <v>45781</v>
      </c>
      <c r="K335" s="7" t="s">
        <v>1006</v>
      </c>
      <c r="L335" s="2" t="s">
        <v>24</v>
      </c>
      <c r="M335" s="2" t="s">
        <v>27</v>
      </c>
    </row>
    <row r="336" spans="1:13" x14ac:dyDescent="0.35">
      <c r="A336" s="2">
        <v>10395</v>
      </c>
      <c r="B336" s="2" t="s">
        <v>603</v>
      </c>
      <c r="C336" s="2" t="s">
        <v>241</v>
      </c>
      <c r="D336" s="2" t="s">
        <v>82</v>
      </c>
      <c r="E336" s="2" t="s">
        <v>15</v>
      </c>
      <c r="F336" s="2" t="s">
        <v>16</v>
      </c>
      <c r="G336" s="2">
        <v>6</v>
      </c>
      <c r="H336" s="9">
        <v>99000</v>
      </c>
      <c r="I336" s="9">
        <v>594000</v>
      </c>
      <c r="J336" s="21">
        <v>45866</v>
      </c>
      <c r="K336" s="7" t="s">
        <v>1013</v>
      </c>
      <c r="L336" s="2" t="s">
        <v>17</v>
      </c>
      <c r="M336" s="2" t="s">
        <v>14</v>
      </c>
    </row>
    <row r="337" spans="1:13" x14ac:dyDescent="0.35">
      <c r="A337" s="2">
        <v>10523</v>
      </c>
      <c r="B337" s="2" t="s">
        <v>767</v>
      </c>
      <c r="C337" s="2" t="s">
        <v>768</v>
      </c>
      <c r="D337" s="2" t="s">
        <v>59</v>
      </c>
      <c r="E337" s="2" t="s">
        <v>29</v>
      </c>
      <c r="F337" s="2" t="s">
        <v>67</v>
      </c>
      <c r="G337" s="2">
        <v>10</v>
      </c>
      <c r="H337" s="9">
        <v>99000</v>
      </c>
      <c r="I337" s="9">
        <v>990000</v>
      </c>
      <c r="J337" s="21">
        <v>45842</v>
      </c>
      <c r="K337" s="7" t="s">
        <v>1013</v>
      </c>
      <c r="L337" s="2" t="s">
        <v>36</v>
      </c>
      <c r="M337" s="2" t="s">
        <v>14</v>
      </c>
    </row>
    <row r="338" spans="1:13" x14ac:dyDescent="0.35">
      <c r="A338" s="2">
        <v>10251</v>
      </c>
      <c r="B338" s="2" t="s">
        <v>769</v>
      </c>
      <c r="C338" s="2" t="s">
        <v>770</v>
      </c>
      <c r="D338" s="2" t="s">
        <v>66</v>
      </c>
      <c r="E338" s="2" t="s">
        <v>34</v>
      </c>
      <c r="F338" s="2" t="s">
        <v>37</v>
      </c>
      <c r="G338" s="2">
        <v>6</v>
      </c>
      <c r="H338" s="9">
        <v>15000</v>
      </c>
      <c r="I338" s="9">
        <v>90000</v>
      </c>
      <c r="J338" s="21">
        <v>46011</v>
      </c>
      <c r="K338" s="7" t="s">
        <v>1010</v>
      </c>
      <c r="L338" s="2" t="s">
        <v>17</v>
      </c>
      <c r="M338" s="2" t="s">
        <v>27</v>
      </c>
    </row>
    <row r="339" spans="1:13" x14ac:dyDescent="0.35">
      <c r="A339" s="2">
        <v>10446</v>
      </c>
      <c r="B339" s="2" t="s">
        <v>242</v>
      </c>
      <c r="C339" s="2" t="s">
        <v>243</v>
      </c>
      <c r="D339" s="2" t="s">
        <v>82</v>
      </c>
      <c r="E339" s="2" t="s">
        <v>15</v>
      </c>
      <c r="F339" s="2" t="s">
        <v>73</v>
      </c>
      <c r="G339" s="2">
        <v>8</v>
      </c>
      <c r="H339" s="9">
        <v>75000</v>
      </c>
      <c r="I339" s="9">
        <v>600000</v>
      </c>
      <c r="J339" s="21">
        <v>45663</v>
      </c>
      <c r="K339" s="7" t="s">
        <v>1005</v>
      </c>
      <c r="L339" s="2" t="s">
        <v>24</v>
      </c>
      <c r="M339" s="2" t="s">
        <v>14</v>
      </c>
    </row>
    <row r="340" spans="1:13" x14ac:dyDescent="0.35">
      <c r="A340" s="2">
        <v>10037</v>
      </c>
      <c r="B340" s="2" t="s">
        <v>97</v>
      </c>
      <c r="C340" s="2" t="s">
        <v>436</v>
      </c>
      <c r="D340" s="2" t="s">
        <v>86</v>
      </c>
      <c r="E340" s="2" t="s">
        <v>29</v>
      </c>
      <c r="F340" s="2" t="s">
        <v>67</v>
      </c>
      <c r="G340" s="2">
        <v>4</v>
      </c>
      <c r="H340" s="9">
        <v>35000</v>
      </c>
      <c r="I340" s="9">
        <v>140000</v>
      </c>
      <c r="J340" s="21">
        <v>45940</v>
      </c>
      <c r="K340" s="7" t="s">
        <v>1014</v>
      </c>
      <c r="L340" s="2" t="s">
        <v>24</v>
      </c>
      <c r="M340" s="2" t="s">
        <v>31</v>
      </c>
    </row>
    <row r="341" spans="1:13" x14ac:dyDescent="0.35">
      <c r="A341" s="2">
        <v>10597</v>
      </c>
      <c r="B341" s="2" t="s">
        <v>771</v>
      </c>
      <c r="C341" s="2" t="s">
        <v>772</v>
      </c>
      <c r="D341" s="2" t="s">
        <v>82</v>
      </c>
      <c r="E341" s="2" t="s">
        <v>18</v>
      </c>
      <c r="F341" s="2" t="s">
        <v>57</v>
      </c>
      <c r="G341" s="2">
        <v>4</v>
      </c>
      <c r="H341" s="9">
        <v>199000</v>
      </c>
      <c r="I341" s="9">
        <v>796000</v>
      </c>
      <c r="J341" s="21">
        <v>45692</v>
      </c>
      <c r="K341" s="7" t="s">
        <v>1011</v>
      </c>
      <c r="L341" s="2" t="s">
        <v>36</v>
      </c>
      <c r="M341" s="2" t="s">
        <v>25</v>
      </c>
    </row>
    <row r="342" spans="1:13" x14ac:dyDescent="0.35">
      <c r="A342" s="2">
        <v>10168</v>
      </c>
      <c r="B342" s="2" t="s">
        <v>244</v>
      </c>
      <c r="C342" s="2" t="s">
        <v>773</v>
      </c>
      <c r="D342" s="2" t="s">
        <v>117</v>
      </c>
      <c r="E342" s="2" t="s">
        <v>34</v>
      </c>
      <c r="F342" s="2" t="s">
        <v>77</v>
      </c>
      <c r="G342" s="2">
        <v>10</v>
      </c>
      <c r="H342" s="9">
        <v>199000</v>
      </c>
      <c r="I342" s="9">
        <v>1990000</v>
      </c>
      <c r="J342" s="21">
        <v>45709</v>
      </c>
      <c r="K342" s="7" t="s">
        <v>1011</v>
      </c>
      <c r="L342" s="2" t="s">
        <v>24</v>
      </c>
      <c r="M342" s="2" t="s">
        <v>27</v>
      </c>
    </row>
    <row r="343" spans="1:13" x14ac:dyDescent="0.35">
      <c r="A343" s="2">
        <v>10135</v>
      </c>
      <c r="B343" s="2" t="s">
        <v>245</v>
      </c>
      <c r="C343" s="2" t="s">
        <v>246</v>
      </c>
      <c r="D343" s="2" t="s">
        <v>86</v>
      </c>
      <c r="E343" s="2" t="s">
        <v>34</v>
      </c>
      <c r="F343" s="2" t="s">
        <v>37</v>
      </c>
      <c r="G343" s="2">
        <v>4</v>
      </c>
      <c r="H343" s="9">
        <v>35000</v>
      </c>
      <c r="I343" s="9">
        <v>140000</v>
      </c>
      <c r="J343" s="21">
        <v>46022</v>
      </c>
      <c r="K343" s="7" t="s">
        <v>1010</v>
      </c>
      <c r="L343" s="2" t="s">
        <v>17</v>
      </c>
      <c r="M343" s="2" t="s">
        <v>31</v>
      </c>
    </row>
    <row r="344" spans="1:13" x14ac:dyDescent="0.35">
      <c r="A344" s="2">
        <v>10107</v>
      </c>
      <c r="B344" s="2" t="s">
        <v>774</v>
      </c>
      <c r="C344" s="2" t="s">
        <v>775</v>
      </c>
      <c r="D344" s="2" t="s">
        <v>23</v>
      </c>
      <c r="E344" s="2" t="s">
        <v>29</v>
      </c>
      <c r="F344" s="2" t="s">
        <v>41</v>
      </c>
      <c r="G344" s="2">
        <v>1</v>
      </c>
      <c r="H344" s="9">
        <v>120000</v>
      </c>
      <c r="I344" s="9">
        <v>120000</v>
      </c>
      <c r="J344" s="21">
        <v>45964</v>
      </c>
      <c r="K344" s="7" t="s">
        <v>1009</v>
      </c>
      <c r="L344" s="2" t="s">
        <v>24</v>
      </c>
      <c r="M344" s="2" t="s">
        <v>31</v>
      </c>
    </row>
    <row r="345" spans="1:13" x14ac:dyDescent="0.35">
      <c r="A345" s="2">
        <v>10247</v>
      </c>
      <c r="B345" s="2" t="s">
        <v>545</v>
      </c>
      <c r="C345" s="2" t="s">
        <v>436</v>
      </c>
      <c r="D345" s="2" t="s">
        <v>46</v>
      </c>
      <c r="E345" s="2" t="s">
        <v>18</v>
      </c>
      <c r="F345" s="2" t="s">
        <v>70</v>
      </c>
      <c r="G345" s="2">
        <v>1</v>
      </c>
      <c r="H345" s="9">
        <v>75000</v>
      </c>
      <c r="I345" s="9">
        <v>75000</v>
      </c>
      <c r="J345" s="21">
        <v>45771</v>
      </c>
      <c r="K345" s="7" t="s">
        <v>1012</v>
      </c>
      <c r="L345" s="2" t="s">
        <v>13</v>
      </c>
      <c r="M345" s="2" t="s">
        <v>14</v>
      </c>
    </row>
    <row r="346" spans="1:13" x14ac:dyDescent="0.35">
      <c r="A346" s="2">
        <v>10072</v>
      </c>
      <c r="B346" s="2" t="s">
        <v>469</v>
      </c>
      <c r="C346" s="2" t="s">
        <v>776</v>
      </c>
      <c r="D346" s="2" t="s">
        <v>148</v>
      </c>
      <c r="E346" s="2" t="s">
        <v>18</v>
      </c>
      <c r="F346" s="2" t="s">
        <v>19</v>
      </c>
      <c r="G346" s="2">
        <v>8</v>
      </c>
      <c r="H346" s="9">
        <v>15000</v>
      </c>
      <c r="I346" s="9">
        <v>120000</v>
      </c>
      <c r="J346" s="21">
        <v>45868</v>
      </c>
      <c r="K346" s="7" t="s">
        <v>1013</v>
      </c>
      <c r="L346" s="2" t="s">
        <v>17</v>
      </c>
      <c r="M346" s="2" t="s">
        <v>31</v>
      </c>
    </row>
    <row r="347" spans="1:13" x14ac:dyDescent="0.35">
      <c r="A347" s="2">
        <v>10173</v>
      </c>
      <c r="B347" s="2" t="s">
        <v>97</v>
      </c>
      <c r="C347" s="2" t="s">
        <v>777</v>
      </c>
      <c r="D347" s="2" t="s">
        <v>23</v>
      </c>
      <c r="E347" s="2" t="s">
        <v>34</v>
      </c>
      <c r="F347" s="2" t="s">
        <v>45</v>
      </c>
      <c r="G347" s="2">
        <v>7</v>
      </c>
      <c r="H347" s="9">
        <v>150000</v>
      </c>
      <c r="I347" s="9">
        <v>1050000</v>
      </c>
      <c r="J347" s="21">
        <v>45962</v>
      </c>
      <c r="K347" s="7" t="s">
        <v>1009</v>
      </c>
      <c r="L347" s="2" t="s">
        <v>24</v>
      </c>
      <c r="M347" s="2" t="s">
        <v>20</v>
      </c>
    </row>
    <row r="348" spans="1:13" x14ac:dyDescent="0.35">
      <c r="A348" s="2">
        <v>10578</v>
      </c>
      <c r="B348" s="2" t="s">
        <v>778</v>
      </c>
      <c r="C348" s="2" t="s">
        <v>779</v>
      </c>
      <c r="D348" s="2" t="s">
        <v>148</v>
      </c>
      <c r="E348" s="2" t="s">
        <v>11</v>
      </c>
      <c r="F348" s="2" t="s">
        <v>39</v>
      </c>
      <c r="G348" s="2">
        <v>4</v>
      </c>
      <c r="H348" s="9">
        <v>199000</v>
      </c>
      <c r="I348" s="9">
        <v>796000</v>
      </c>
      <c r="J348" s="21">
        <v>45848</v>
      </c>
      <c r="K348" s="7" t="s">
        <v>1013</v>
      </c>
      <c r="L348" s="2" t="s">
        <v>13</v>
      </c>
      <c r="M348" s="2" t="s">
        <v>27</v>
      </c>
    </row>
    <row r="349" spans="1:13" x14ac:dyDescent="0.35">
      <c r="A349" s="2">
        <v>10211</v>
      </c>
      <c r="B349" s="2" t="s">
        <v>154</v>
      </c>
      <c r="C349" s="2" t="s">
        <v>247</v>
      </c>
      <c r="D349" s="2" t="s">
        <v>82</v>
      </c>
      <c r="E349" s="2" t="s">
        <v>29</v>
      </c>
      <c r="F349" s="2" t="s">
        <v>81</v>
      </c>
      <c r="G349" s="2">
        <v>6</v>
      </c>
      <c r="H349" s="9">
        <v>25000</v>
      </c>
      <c r="I349" s="9">
        <v>150000</v>
      </c>
      <c r="J349" s="21">
        <v>46018</v>
      </c>
      <c r="K349" s="7" t="s">
        <v>1010</v>
      </c>
      <c r="L349" s="2" t="s">
        <v>13</v>
      </c>
      <c r="M349" s="2" t="s">
        <v>25</v>
      </c>
    </row>
    <row r="350" spans="1:13" x14ac:dyDescent="0.35">
      <c r="A350" s="2">
        <v>10187</v>
      </c>
      <c r="B350" s="2" t="s">
        <v>248</v>
      </c>
      <c r="C350" s="2" t="s">
        <v>780</v>
      </c>
      <c r="D350" s="2" t="s">
        <v>117</v>
      </c>
      <c r="E350" s="2" t="s">
        <v>29</v>
      </c>
      <c r="F350" s="2" t="s">
        <v>81</v>
      </c>
      <c r="G350" s="2">
        <v>5</v>
      </c>
      <c r="H350" s="9">
        <v>250000</v>
      </c>
      <c r="I350" s="9">
        <v>1250000</v>
      </c>
      <c r="J350" s="21">
        <v>45818</v>
      </c>
      <c r="K350" s="7" t="s">
        <v>1007</v>
      </c>
      <c r="L350" s="2" t="s">
        <v>24</v>
      </c>
      <c r="M350" s="2" t="s">
        <v>27</v>
      </c>
    </row>
    <row r="351" spans="1:13" x14ac:dyDescent="0.35">
      <c r="A351" s="2">
        <v>10086</v>
      </c>
      <c r="B351" s="2" t="s">
        <v>447</v>
      </c>
      <c r="C351" s="2" t="s">
        <v>781</v>
      </c>
      <c r="D351" s="2" t="s">
        <v>117</v>
      </c>
      <c r="E351" s="2" t="s">
        <v>29</v>
      </c>
      <c r="F351" s="2" t="s">
        <v>81</v>
      </c>
      <c r="G351" s="2">
        <v>9</v>
      </c>
      <c r="H351" s="9">
        <v>35000</v>
      </c>
      <c r="I351" s="9">
        <v>315000</v>
      </c>
      <c r="J351" s="21">
        <v>45783</v>
      </c>
      <c r="K351" s="7" t="s">
        <v>1006</v>
      </c>
      <c r="L351" s="2" t="s">
        <v>36</v>
      </c>
      <c r="M351" s="2" t="s">
        <v>31</v>
      </c>
    </row>
    <row r="352" spans="1:13" x14ac:dyDescent="0.35">
      <c r="A352" s="2">
        <v>10057</v>
      </c>
      <c r="B352" s="2" t="s">
        <v>579</v>
      </c>
      <c r="C352" s="2" t="s">
        <v>249</v>
      </c>
      <c r="D352" s="2" t="s">
        <v>82</v>
      </c>
      <c r="E352" s="2" t="s">
        <v>29</v>
      </c>
      <c r="F352" s="2" t="s">
        <v>64</v>
      </c>
      <c r="G352" s="2">
        <v>10</v>
      </c>
      <c r="H352" s="9">
        <v>35000</v>
      </c>
      <c r="I352" s="9">
        <v>350000</v>
      </c>
      <c r="J352" s="21">
        <v>45691</v>
      </c>
      <c r="K352" s="7" t="s">
        <v>1011</v>
      </c>
      <c r="L352" s="2" t="s">
        <v>36</v>
      </c>
      <c r="M352" s="2" t="s">
        <v>25</v>
      </c>
    </row>
    <row r="353" spans="1:13" x14ac:dyDescent="0.35">
      <c r="A353" s="2">
        <v>10534</v>
      </c>
      <c r="B353" s="2" t="s">
        <v>481</v>
      </c>
      <c r="C353" s="2" t="s">
        <v>782</v>
      </c>
      <c r="D353" s="2" t="s">
        <v>63</v>
      </c>
      <c r="E353" s="2" t="s">
        <v>34</v>
      </c>
      <c r="F353" s="2" t="s">
        <v>45</v>
      </c>
      <c r="G353" s="2">
        <v>9</v>
      </c>
      <c r="H353" s="9">
        <v>99000</v>
      </c>
      <c r="I353" s="9">
        <v>891000</v>
      </c>
      <c r="J353" s="21">
        <v>45920</v>
      </c>
      <c r="K353" s="7" t="s">
        <v>1015</v>
      </c>
      <c r="L353" s="2" t="s">
        <v>24</v>
      </c>
      <c r="M353" s="2" t="s">
        <v>31</v>
      </c>
    </row>
    <row r="354" spans="1:13" x14ac:dyDescent="0.35">
      <c r="A354" s="2">
        <v>10074</v>
      </c>
      <c r="B354" s="2" t="s">
        <v>783</v>
      </c>
      <c r="C354" s="2" t="s">
        <v>784</v>
      </c>
      <c r="D354" s="2" t="s">
        <v>33</v>
      </c>
      <c r="E354" s="2" t="s">
        <v>18</v>
      </c>
      <c r="F354" s="2" t="s">
        <v>57</v>
      </c>
      <c r="G354" s="2">
        <v>5</v>
      </c>
      <c r="H354" s="9">
        <v>25000</v>
      </c>
      <c r="I354" s="9">
        <v>125000</v>
      </c>
      <c r="J354" s="21">
        <v>45740</v>
      </c>
      <c r="K354" s="7" t="s">
        <v>1016</v>
      </c>
      <c r="L354" s="2" t="s">
        <v>17</v>
      </c>
      <c r="M354" s="2" t="s">
        <v>20</v>
      </c>
    </row>
    <row r="355" spans="1:13" x14ac:dyDescent="0.35">
      <c r="A355" s="2">
        <v>10053</v>
      </c>
      <c r="B355" s="2" t="s">
        <v>250</v>
      </c>
      <c r="C355" s="2" t="s">
        <v>785</v>
      </c>
      <c r="D355" s="2" t="s">
        <v>23</v>
      </c>
      <c r="E355" s="2" t="s">
        <v>34</v>
      </c>
      <c r="F355" s="2" t="s">
        <v>47</v>
      </c>
      <c r="G355" s="2">
        <v>8</v>
      </c>
      <c r="H355" s="9">
        <v>75000</v>
      </c>
      <c r="I355" s="9">
        <v>600000</v>
      </c>
      <c r="J355" s="21">
        <v>46001</v>
      </c>
      <c r="K355" s="7" t="s">
        <v>1010</v>
      </c>
      <c r="L355" s="2" t="s">
        <v>13</v>
      </c>
      <c r="M355" s="2" t="s">
        <v>20</v>
      </c>
    </row>
    <row r="356" spans="1:13" x14ac:dyDescent="0.35">
      <c r="A356" s="2">
        <v>10063</v>
      </c>
      <c r="B356" s="2" t="s">
        <v>251</v>
      </c>
      <c r="C356" s="2" t="s">
        <v>252</v>
      </c>
      <c r="D356" s="2" t="s">
        <v>23</v>
      </c>
      <c r="E356" s="2" t="s">
        <v>18</v>
      </c>
      <c r="F356" s="2" t="s">
        <v>57</v>
      </c>
      <c r="G356" s="2">
        <v>1</v>
      </c>
      <c r="H356" s="9">
        <v>45000</v>
      </c>
      <c r="I356" s="9">
        <v>45000</v>
      </c>
      <c r="J356" s="21">
        <v>45812</v>
      </c>
      <c r="K356" s="7" t="s">
        <v>1007</v>
      </c>
      <c r="L356" s="2" t="s">
        <v>36</v>
      </c>
      <c r="M356" s="2" t="s">
        <v>31</v>
      </c>
    </row>
    <row r="357" spans="1:13" x14ac:dyDescent="0.35">
      <c r="A357" s="2">
        <v>10219</v>
      </c>
      <c r="B357" s="2" t="s">
        <v>697</v>
      </c>
      <c r="C357" s="2" t="s">
        <v>253</v>
      </c>
      <c r="D357" s="2" t="s">
        <v>59</v>
      </c>
      <c r="E357" s="2" t="s">
        <v>18</v>
      </c>
      <c r="F357" s="2" t="s">
        <v>52</v>
      </c>
      <c r="G357" s="2">
        <v>5</v>
      </c>
      <c r="H357" s="9">
        <v>50000</v>
      </c>
      <c r="I357" s="9">
        <v>250000</v>
      </c>
      <c r="J357" s="21">
        <v>45953</v>
      </c>
      <c r="K357" s="7" t="s">
        <v>1014</v>
      </c>
      <c r="L357" s="2" t="s">
        <v>17</v>
      </c>
      <c r="M357" s="2" t="s">
        <v>20</v>
      </c>
    </row>
    <row r="358" spans="1:13" x14ac:dyDescent="0.35">
      <c r="A358" s="2">
        <v>10225</v>
      </c>
      <c r="B358" s="2" t="s">
        <v>786</v>
      </c>
      <c r="C358" s="2" t="s">
        <v>787</v>
      </c>
      <c r="D358" s="2" t="s">
        <v>33</v>
      </c>
      <c r="E358" s="2" t="s">
        <v>29</v>
      </c>
      <c r="F358" s="2" t="s">
        <v>30</v>
      </c>
      <c r="G358" s="2">
        <v>4</v>
      </c>
      <c r="H358" s="9">
        <v>250000</v>
      </c>
      <c r="I358" s="9">
        <v>1000000</v>
      </c>
      <c r="J358" s="21">
        <v>46017</v>
      </c>
      <c r="K358" s="7" t="s">
        <v>1010</v>
      </c>
      <c r="L358" s="2" t="s">
        <v>36</v>
      </c>
      <c r="M358" s="2" t="s">
        <v>25</v>
      </c>
    </row>
    <row r="359" spans="1:13" x14ac:dyDescent="0.35">
      <c r="A359" s="2">
        <v>10548</v>
      </c>
      <c r="B359" s="2" t="s">
        <v>788</v>
      </c>
      <c r="C359" s="2" t="s">
        <v>789</v>
      </c>
      <c r="D359" s="2" t="s">
        <v>148</v>
      </c>
      <c r="E359" s="2" t="s">
        <v>15</v>
      </c>
      <c r="F359" s="2" t="s">
        <v>55</v>
      </c>
      <c r="G359" s="2">
        <v>1</v>
      </c>
      <c r="H359" s="9">
        <v>250000</v>
      </c>
      <c r="I359" s="9">
        <v>250000</v>
      </c>
      <c r="J359" s="21">
        <v>45814</v>
      </c>
      <c r="K359" s="7" t="s">
        <v>1007</v>
      </c>
      <c r="L359" s="2" t="s">
        <v>24</v>
      </c>
      <c r="M359" s="2" t="s">
        <v>27</v>
      </c>
    </row>
    <row r="360" spans="1:13" x14ac:dyDescent="0.35">
      <c r="A360" s="2">
        <v>10501</v>
      </c>
      <c r="B360" s="2" t="s">
        <v>254</v>
      </c>
      <c r="C360" s="2" t="s">
        <v>255</v>
      </c>
      <c r="D360" s="2" t="s">
        <v>117</v>
      </c>
      <c r="E360" s="2" t="s">
        <v>18</v>
      </c>
      <c r="F360" s="2" t="s">
        <v>19</v>
      </c>
      <c r="G360" s="2">
        <v>1</v>
      </c>
      <c r="H360" s="9">
        <v>199000</v>
      </c>
      <c r="I360" s="9">
        <v>199000</v>
      </c>
      <c r="J360" s="21">
        <v>46020</v>
      </c>
      <c r="K360" s="7" t="s">
        <v>1010</v>
      </c>
      <c r="L360" s="2" t="s">
        <v>13</v>
      </c>
      <c r="M360" s="2" t="s">
        <v>14</v>
      </c>
    </row>
    <row r="361" spans="1:13" x14ac:dyDescent="0.35">
      <c r="A361" s="2">
        <v>10499</v>
      </c>
      <c r="B361" s="2" t="s">
        <v>790</v>
      </c>
      <c r="C361" s="2" t="s">
        <v>791</v>
      </c>
      <c r="D361" s="2" t="s">
        <v>86</v>
      </c>
      <c r="E361" s="2" t="s">
        <v>34</v>
      </c>
      <c r="F361" s="2" t="s">
        <v>35</v>
      </c>
      <c r="G361" s="2">
        <v>7</v>
      </c>
      <c r="H361" s="9">
        <v>15000</v>
      </c>
      <c r="I361" s="9">
        <v>105000</v>
      </c>
      <c r="J361" s="21">
        <v>45665</v>
      </c>
      <c r="K361" s="7" t="s">
        <v>1005</v>
      </c>
      <c r="L361" s="2" t="s">
        <v>24</v>
      </c>
      <c r="M361" s="2" t="s">
        <v>31</v>
      </c>
    </row>
    <row r="362" spans="1:13" x14ac:dyDescent="0.35">
      <c r="A362" s="2">
        <v>10186</v>
      </c>
      <c r="B362" s="2" t="s">
        <v>317</v>
      </c>
      <c r="C362" s="2" t="s">
        <v>256</v>
      </c>
      <c r="D362" s="2" t="s">
        <v>86</v>
      </c>
      <c r="E362" s="2" t="s">
        <v>15</v>
      </c>
      <c r="F362" s="2" t="s">
        <v>49</v>
      </c>
      <c r="G362" s="2">
        <v>3</v>
      </c>
      <c r="H362" s="9">
        <v>25000</v>
      </c>
      <c r="I362" s="9">
        <v>75000</v>
      </c>
      <c r="J362" s="21">
        <v>45725</v>
      </c>
      <c r="K362" s="7" t="s">
        <v>1016</v>
      </c>
      <c r="L362" s="2" t="s">
        <v>24</v>
      </c>
      <c r="M362" s="2" t="s">
        <v>31</v>
      </c>
    </row>
    <row r="363" spans="1:13" x14ac:dyDescent="0.35">
      <c r="A363" s="2">
        <v>10020</v>
      </c>
      <c r="B363" s="2" t="s">
        <v>89</v>
      </c>
      <c r="C363" s="2" t="s">
        <v>792</v>
      </c>
      <c r="D363" s="2" t="s">
        <v>117</v>
      </c>
      <c r="E363" s="2" t="s">
        <v>11</v>
      </c>
      <c r="F363" s="2" t="s">
        <v>39</v>
      </c>
      <c r="G363" s="2">
        <v>6</v>
      </c>
      <c r="H363" s="9">
        <v>250000</v>
      </c>
      <c r="I363" s="9">
        <v>1500000</v>
      </c>
      <c r="J363" s="21">
        <v>45721</v>
      </c>
      <c r="K363" s="7" t="s">
        <v>1016</v>
      </c>
      <c r="L363" s="2" t="s">
        <v>17</v>
      </c>
      <c r="M363" s="2" t="s">
        <v>27</v>
      </c>
    </row>
    <row r="364" spans="1:13" x14ac:dyDescent="0.35">
      <c r="A364" s="2">
        <v>10530</v>
      </c>
      <c r="B364" s="2" t="s">
        <v>142</v>
      </c>
      <c r="C364" s="2" t="s">
        <v>793</v>
      </c>
      <c r="D364" s="2" t="s">
        <v>66</v>
      </c>
      <c r="E364" s="2" t="s">
        <v>18</v>
      </c>
      <c r="F364" s="2" t="s">
        <v>26</v>
      </c>
      <c r="G364" s="2">
        <v>1</v>
      </c>
      <c r="H364" s="9">
        <v>45000</v>
      </c>
      <c r="I364" s="9">
        <v>45000</v>
      </c>
      <c r="J364" s="21">
        <v>45922</v>
      </c>
      <c r="K364" s="7" t="s">
        <v>1015</v>
      </c>
      <c r="L364" s="2" t="s">
        <v>36</v>
      </c>
      <c r="M364" s="2" t="s">
        <v>27</v>
      </c>
    </row>
    <row r="365" spans="1:13" x14ac:dyDescent="0.35">
      <c r="A365" s="2">
        <v>10203</v>
      </c>
      <c r="B365" s="2" t="s">
        <v>630</v>
      </c>
      <c r="C365" s="2" t="s">
        <v>794</v>
      </c>
      <c r="D365" s="2" t="s">
        <v>66</v>
      </c>
      <c r="E365" s="2" t="s">
        <v>29</v>
      </c>
      <c r="F365" s="2" t="s">
        <v>64</v>
      </c>
      <c r="G365" s="2">
        <v>9</v>
      </c>
      <c r="H365" s="9">
        <v>25000</v>
      </c>
      <c r="I365" s="9">
        <v>225000</v>
      </c>
      <c r="J365" s="21">
        <v>45806</v>
      </c>
      <c r="K365" s="7" t="s">
        <v>1006</v>
      </c>
      <c r="L365" s="2" t="s">
        <v>17</v>
      </c>
      <c r="M365" s="2" t="s">
        <v>27</v>
      </c>
    </row>
    <row r="366" spans="1:13" x14ac:dyDescent="0.35">
      <c r="A366" s="2">
        <v>10149</v>
      </c>
      <c r="B366" s="2" t="s">
        <v>257</v>
      </c>
      <c r="C366" s="2" t="s">
        <v>795</v>
      </c>
      <c r="D366" s="2" t="s">
        <v>23</v>
      </c>
      <c r="E366" s="2" t="s">
        <v>11</v>
      </c>
      <c r="F366" s="2" t="s">
        <v>12</v>
      </c>
      <c r="G366" s="2">
        <v>6</v>
      </c>
      <c r="H366" s="9">
        <v>15000</v>
      </c>
      <c r="I366" s="9">
        <v>90000</v>
      </c>
      <c r="J366" s="21">
        <v>45994</v>
      </c>
      <c r="K366" s="7" t="s">
        <v>1010</v>
      </c>
      <c r="L366" s="2" t="s">
        <v>40</v>
      </c>
      <c r="M366" s="2" t="s">
        <v>25</v>
      </c>
    </row>
    <row r="367" spans="1:13" x14ac:dyDescent="0.35">
      <c r="A367" s="2">
        <v>10563</v>
      </c>
      <c r="B367" s="2" t="s">
        <v>557</v>
      </c>
      <c r="C367" s="2" t="s">
        <v>796</v>
      </c>
      <c r="D367" s="2" t="s">
        <v>46</v>
      </c>
      <c r="E367" s="2" t="s">
        <v>15</v>
      </c>
      <c r="F367" s="2" t="s">
        <v>55</v>
      </c>
      <c r="G367" s="2">
        <v>3</v>
      </c>
      <c r="H367" s="9">
        <v>120000</v>
      </c>
      <c r="I367" s="9">
        <v>360000</v>
      </c>
      <c r="J367" s="21">
        <v>45663</v>
      </c>
      <c r="K367" s="7" t="s">
        <v>1005</v>
      </c>
      <c r="L367" s="2" t="s">
        <v>24</v>
      </c>
      <c r="M367" s="2" t="s">
        <v>14</v>
      </c>
    </row>
    <row r="368" spans="1:13" x14ac:dyDescent="0.35">
      <c r="A368" s="2">
        <v>10516</v>
      </c>
      <c r="B368" s="2" t="s">
        <v>797</v>
      </c>
      <c r="C368" s="2" t="s">
        <v>258</v>
      </c>
      <c r="D368" s="2" t="s">
        <v>23</v>
      </c>
      <c r="E368" s="2" t="s">
        <v>11</v>
      </c>
      <c r="F368" s="2" t="s">
        <v>71</v>
      </c>
      <c r="G368" s="2">
        <v>3</v>
      </c>
      <c r="H368" s="9">
        <v>250000</v>
      </c>
      <c r="I368" s="9">
        <v>750000</v>
      </c>
      <c r="J368" s="21">
        <v>45815</v>
      </c>
      <c r="K368" s="7" t="s">
        <v>1007</v>
      </c>
      <c r="L368" s="2" t="s">
        <v>13</v>
      </c>
      <c r="M368" s="2" t="s">
        <v>14</v>
      </c>
    </row>
    <row r="369" spans="1:13" x14ac:dyDescent="0.35">
      <c r="A369" s="2">
        <v>10246</v>
      </c>
      <c r="B369" s="2" t="s">
        <v>798</v>
      </c>
      <c r="C369" s="2" t="s">
        <v>259</v>
      </c>
      <c r="D369" s="2" t="s">
        <v>86</v>
      </c>
      <c r="E369" s="2" t="s">
        <v>15</v>
      </c>
      <c r="F369" s="2" t="s">
        <v>73</v>
      </c>
      <c r="G369" s="2">
        <v>2</v>
      </c>
      <c r="H369" s="9">
        <v>25000</v>
      </c>
      <c r="I369" s="9">
        <v>50000</v>
      </c>
      <c r="J369" s="21">
        <v>45925</v>
      </c>
      <c r="K369" s="7" t="s">
        <v>1015</v>
      </c>
      <c r="L369" s="2" t="s">
        <v>24</v>
      </c>
      <c r="M369" s="2" t="s">
        <v>14</v>
      </c>
    </row>
    <row r="370" spans="1:13" x14ac:dyDescent="0.35">
      <c r="A370" s="2">
        <v>10224</v>
      </c>
      <c r="B370" s="2" t="s">
        <v>799</v>
      </c>
      <c r="C370" s="2" t="s">
        <v>800</v>
      </c>
      <c r="D370" s="2" t="s">
        <v>33</v>
      </c>
      <c r="E370" s="2" t="s">
        <v>29</v>
      </c>
      <c r="F370" s="2" t="s">
        <v>41</v>
      </c>
      <c r="G370" s="2">
        <v>5</v>
      </c>
      <c r="H370" s="9">
        <v>75000</v>
      </c>
      <c r="I370" s="9">
        <v>375000</v>
      </c>
      <c r="J370" s="21">
        <v>45717</v>
      </c>
      <c r="K370" s="7" t="s">
        <v>1016</v>
      </c>
      <c r="L370" s="2" t="s">
        <v>13</v>
      </c>
      <c r="M370" s="2" t="s">
        <v>25</v>
      </c>
    </row>
    <row r="371" spans="1:13" x14ac:dyDescent="0.35">
      <c r="A371" s="2">
        <v>10573</v>
      </c>
      <c r="B371" s="2" t="s">
        <v>801</v>
      </c>
      <c r="C371" s="2" t="s">
        <v>260</v>
      </c>
      <c r="D371" s="2" t="s">
        <v>86</v>
      </c>
      <c r="E371" s="2" t="s">
        <v>29</v>
      </c>
      <c r="F371" s="2" t="s">
        <v>67</v>
      </c>
      <c r="G371" s="2">
        <v>7</v>
      </c>
      <c r="H371" s="9">
        <v>150000</v>
      </c>
      <c r="I371" s="9">
        <v>1050000</v>
      </c>
      <c r="J371" s="21">
        <v>45800</v>
      </c>
      <c r="K371" s="7" t="s">
        <v>1006</v>
      </c>
      <c r="L371" s="2" t="s">
        <v>40</v>
      </c>
      <c r="M371" s="2" t="s">
        <v>25</v>
      </c>
    </row>
    <row r="372" spans="1:13" x14ac:dyDescent="0.35">
      <c r="A372" s="2">
        <v>10591</v>
      </c>
      <c r="B372" s="2" t="s">
        <v>116</v>
      </c>
      <c r="C372" s="2" t="s">
        <v>802</v>
      </c>
      <c r="D372" s="2" t="s">
        <v>46</v>
      </c>
      <c r="E372" s="2" t="s">
        <v>34</v>
      </c>
      <c r="F372" s="2" t="s">
        <v>77</v>
      </c>
      <c r="G372" s="2">
        <v>10</v>
      </c>
      <c r="H372" s="9">
        <v>45000</v>
      </c>
      <c r="I372" s="9">
        <v>450000</v>
      </c>
      <c r="J372" s="21">
        <v>46017</v>
      </c>
      <c r="K372" s="7" t="s">
        <v>1010</v>
      </c>
      <c r="L372" s="2" t="s">
        <v>40</v>
      </c>
      <c r="M372" s="2" t="s">
        <v>25</v>
      </c>
    </row>
    <row r="373" spans="1:13" x14ac:dyDescent="0.35">
      <c r="A373" s="2">
        <v>10331</v>
      </c>
      <c r="B373" s="2" t="s">
        <v>803</v>
      </c>
      <c r="C373" s="2" t="s">
        <v>261</v>
      </c>
      <c r="D373" s="2" t="s">
        <v>33</v>
      </c>
      <c r="E373" s="2" t="s">
        <v>29</v>
      </c>
      <c r="F373" s="2" t="s">
        <v>81</v>
      </c>
      <c r="G373" s="2">
        <v>5</v>
      </c>
      <c r="H373" s="9">
        <v>250000</v>
      </c>
      <c r="I373" s="9">
        <v>1250000</v>
      </c>
      <c r="J373" s="21">
        <v>45809</v>
      </c>
      <c r="K373" s="7" t="s">
        <v>1007</v>
      </c>
      <c r="L373" s="2" t="s">
        <v>24</v>
      </c>
      <c r="M373" s="2" t="s">
        <v>14</v>
      </c>
    </row>
    <row r="374" spans="1:13" x14ac:dyDescent="0.35">
      <c r="A374" s="2">
        <v>10394</v>
      </c>
      <c r="B374" s="2" t="s">
        <v>500</v>
      </c>
      <c r="C374" s="2" t="s">
        <v>804</v>
      </c>
      <c r="D374" s="2" t="s">
        <v>63</v>
      </c>
      <c r="E374" s="2" t="s">
        <v>34</v>
      </c>
      <c r="F374" s="2" t="s">
        <v>77</v>
      </c>
      <c r="G374" s="2">
        <v>4</v>
      </c>
      <c r="H374" s="9">
        <v>250000</v>
      </c>
      <c r="I374" s="9">
        <v>1000000</v>
      </c>
      <c r="J374" s="21">
        <v>45947</v>
      </c>
      <c r="K374" s="7" t="s">
        <v>1014</v>
      </c>
      <c r="L374" s="2" t="s">
        <v>13</v>
      </c>
      <c r="M374" s="2" t="s">
        <v>27</v>
      </c>
    </row>
    <row r="375" spans="1:13" x14ac:dyDescent="0.35">
      <c r="A375" s="2">
        <v>10061</v>
      </c>
      <c r="B375" s="2" t="s">
        <v>805</v>
      </c>
      <c r="C375" s="2" t="s">
        <v>262</v>
      </c>
      <c r="D375" s="2" t="s">
        <v>148</v>
      </c>
      <c r="E375" s="2" t="s">
        <v>15</v>
      </c>
      <c r="F375" s="2" t="s">
        <v>16</v>
      </c>
      <c r="G375" s="2">
        <v>3</v>
      </c>
      <c r="H375" s="9">
        <v>250000</v>
      </c>
      <c r="I375" s="9">
        <v>750000</v>
      </c>
      <c r="J375" s="21">
        <v>45673</v>
      </c>
      <c r="K375" s="7" t="s">
        <v>1005</v>
      </c>
      <c r="L375" s="2" t="s">
        <v>24</v>
      </c>
      <c r="M375" s="2" t="s">
        <v>27</v>
      </c>
    </row>
    <row r="376" spans="1:13" x14ac:dyDescent="0.35">
      <c r="A376" s="2">
        <v>10275</v>
      </c>
      <c r="B376" s="2" t="s">
        <v>716</v>
      </c>
      <c r="C376" s="2" t="s">
        <v>263</v>
      </c>
      <c r="D376" s="2" t="s">
        <v>63</v>
      </c>
      <c r="E376" s="2" t="s">
        <v>34</v>
      </c>
      <c r="F376" s="2" t="s">
        <v>77</v>
      </c>
      <c r="G376" s="2">
        <v>6</v>
      </c>
      <c r="H376" s="9">
        <v>75000</v>
      </c>
      <c r="I376" s="9">
        <v>450000</v>
      </c>
      <c r="J376" s="21">
        <v>45718</v>
      </c>
      <c r="K376" s="7" t="s">
        <v>1016</v>
      </c>
      <c r="L376" s="2" t="s">
        <v>36</v>
      </c>
      <c r="M376" s="2" t="s">
        <v>25</v>
      </c>
    </row>
    <row r="377" spans="1:13" x14ac:dyDescent="0.35">
      <c r="A377" s="2">
        <v>10366</v>
      </c>
      <c r="B377" s="2" t="s">
        <v>264</v>
      </c>
      <c r="C377" s="2" t="s">
        <v>265</v>
      </c>
      <c r="D377" s="2" t="s">
        <v>117</v>
      </c>
      <c r="E377" s="2" t="s">
        <v>29</v>
      </c>
      <c r="F377" s="2" t="s">
        <v>81</v>
      </c>
      <c r="G377" s="2">
        <v>7</v>
      </c>
      <c r="H377" s="9">
        <v>25000</v>
      </c>
      <c r="I377" s="9">
        <v>175000</v>
      </c>
      <c r="J377" s="21">
        <v>45664</v>
      </c>
      <c r="K377" s="7" t="s">
        <v>1005</v>
      </c>
      <c r="L377" s="2" t="s">
        <v>36</v>
      </c>
      <c r="M377" s="2" t="s">
        <v>20</v>
      </c>
    </row>
    <row r="378" spans="1:13" x14ac:dyDescent="0.35">
      <c r="A378" s="2">
        <v>10133</v>
      </c>
      <c r="B378" s="2" t="s">
        <v>568</v>
      </c>
      <c r="C378" s="2" t="s">
        <v>806</v>
      </c>
      <c r="D378" s="2" t="s">
        <v>63</v>
      </c>
      <c r="E378" s="2" t="s">
        <v>18</v>
      </c>
      <c r="F378" s="2" t="s">
        <v>57</v>
      </c>
      <c r="G378" s="2">
        <v>8</v>
      </c>
      <c r="H378" s="9">
        <v>150000</v>
      </c>
      <c r="I378" s="9">
        <v>1200000</v>
      </c>
      <c r="J378" s="21">
        <v>45769</v>
      </c>
      <c r="K378" s="7" t="s">
        <v>1012</v>
      </c>
      <c r="L378" s="2" t="s">
        <v>40</v>
      </c>
      <c r="M378" s="2" t="s">
        <v>14</v>
      </c>
    </row>
    <row r="379" spans="1:13" x14ac:dyDescent="0.35">
      <c r="A379" s="2">
        <v>10213</v>
      </c>
      <c r="B379" s="2" t="s">
        <v>807</v>
      </c>
      <c r="C379" s="2" t="s">
        <v>266</v>
      </c>
      <c r="D379" s="2" t="s">
        <v>117</v>
      </c>
      <c r="E379" s="2" t="s">
        <v>29</v>
      </c>
      <c r="F379" s="2" t="s">
        <v>30</v>
      </c>
      <c r="G379" s="2">
        <v>8</v>
      </c>
      <c r="H379" s="9">
        <v>120000</v>
      </c>
      <c r="I379" s="9">
        <v>960000</v>
      </c>
      <c r="J379" s="21">
        <v>45765</v>
      </c>
      <c r="K379" s="7" t="s">
        <v>1012</v>
      </c>
      <c r="L379" s="2" t="s">
        <v>13</v>
      </c>
      <c r="M379" s="2" t="s">
        <v>31</v>
      </c>
    </row>
    <row r="380" spans="1:13" x14ac:dyDescent="0.35">
      <c r="A380" s="2">
        <v>10197</v>
      </c>
      <c r="B380" s="2" t="s">
        <v>450</v>
      </c>
      <c r="C380" s="2" t="s">
        <v>267</v>
      </c>
      <c r="D380" s="2" t="s">
        <v>66</v>
      </c>
      <c r="E380" s="2" t="s">
        <v>11</v>
      </c>
      <c r="F380" s="2" t="s">
        <v>50</v>
      </c>
      <c r="G380" s="2">
        <v>10</v>
      </c>
      <c r="H380" s="9">
        <v>120000</v>
      </c>
      <c r="I380" s="9">
        <v>1200000</v>
      </c>
      <c r="J380" s="21">
        <v>45773</v>
      </c>
      <c r="K380" s="7" t="s">
        <v>1012</v>
      </c>
      <c r="L380" s="2" t="s">
        <v>17</v>
      </c>
      <c r="M380" s="2" t="s">
        <v>27</v>
      </c>
    </row>
    <row r="381" spans="1:13" x14ac:dyDescent="0.35">
      <c r="A381" s="2">
        <v>10266</v>
      </c>
      <c r="B381" s="2" t="s">
        <v>303</v>
      </c>
      <c r="C381" s="2" t="s">
        <v>808</v>
      </c>
      <c r="D381" s="2" t="s">
        <v>82</v>
      </c>
      <c r="E381" s="2" t="s">
        <v>18</v>
      </c>
      <c r="F381" s="2" t="s">
        <v>57</v>
      </c>
      <c r="G381" s="2">
        <v>3</v>
      </c>
      <c r="H381" s="9">
        <v>199000</v>
      </c>
      <c r="I381" s="9">
        <v>597000</v>
      </c>
      <c r="J381" s="21">
        <v>46014</v>
      </c>
      <c r="K381" s="7" t="s">
        <v>1010</v>
      </c>
      <c r="L381" s="2" t="s">
        <v>13</v>
      </c>
      <c r="M381" s="2" t="s">
        <v>31</v>
      </c>
    </row>
    <row r="382" spans="1:13" x14ac:dyDescent="0.35">
      <c r="A382" s="2">
        <v>10208</v>
      </c>
      <c r="B382" s="2" t="s">
        <v>630</v>
      </c>
      <c r="C382" s="2" t="s">
        <v>809</v>
      </c>
      <c r="D382" s="2" t="s">
        <v>148</v>
      </c>
      <c r="E382" s="2" t="s">
        <v>34</v>
      </c>
      <c r="F382" s="2" t="s">
        <v>45</v>
      </c>
      <c r="G382" s="2">
        <v>2</v>
      </c>
      <c r="H382" s="9">
        <v>25000</v>
      </c>
      <c r="I382" s="9">
        <v>50000</v>
      </c>
      <c r="J382" s="21">
        <v>45667</v>
      </c>
      <c r="K382" s="7" t="s">
        <v>1005</v>
      </c>
      <c r="L382" s="2" t="s">
        <v>13</v>
      </c>
      <c r="M382" s="2" t="s">
        <v>14</v>
      </c>
    </row>
    <row r="383" spans="1:13" x14ac:dyDescent="0.35">
      <c r="A383" s="2">
        <v>10346</v>
      </c>
      <c r="B383" s="2" t="s">
        <v>810</v>
      </c>
      <c r="C383" s="2" t="s">
        <v>268</v>
      </c>
      <c r="D383" s="2" t="s">
        <v>117</v>
      </c>
      <c r="E383" s="2" t="s">
        <v>29</v>
      </c>
      <c r="F383" s="2" t="s">
        <v>67</v>
      </c>
      <c r="G383" s="2">
        <v>3</v>
      </c>
      <c r="H383" s="9">
        <v>50000</v>
      </c>
      <c r="I383" s="9">
        <v>150000</v>
      </c>
      <c r="J383" s="21">
        <v>45964</v>
      </c>
      <c r="K383" s="7" t="s">
        <v>1009</v>
      </c>
      <c r="L383" s="2" t="s">
        <v>24</v>
      </c>
      <c r="M383" s="2" t="s">
        <v>25</v>
      </c>
    </row>
    <row r="384" spans="1:13" x14ac:dyDescent="0.35">
      <c r="A384" s="2">
        <v>10489</v>
      </c>
      <c r="B384" s="2" t="s">
        <v>811</v>
      </c>
      <c r="C384" s="2" t="s">
        <v>269</v>
      </c>
      <c r="D384" s="2" t="s">
        <v>117</v>
      </c>
      <c r="E384" s="2" t="s">
        <v>34</v>
      </c>
      <c r="F384" s="2" t="s">
        <v>47</v>
      </c>
      <c r="G384" s="2">
        <v>6</v>
      </c>
      <c r="H384" s="9">
        <v>150000</v>
      </c>
      <c r="I384" s="9">
        <v>900000</v>
      </c>
      <c r="J384" s="21">
        <v>45977</v>
      </c>
      <c r="K384" s="7" t="s">
        <v>1009</v>
      </c>
      <c r="L384" s="2" t="s">
        <v>17</v>
      </c>
      <c r="M384" s="2" t="s">
        <v>25</v>
      </c>
    </row>
    <row r="385" spans="1:13" x14ac:dyDescent="0.35">
      <c r="A385" s="2">
        <v>10016</v>
      </c>
      <c r="B385" s="2" t="s">
        <v>812</v>
      </c>
      <c r="C385" s="2" t="s">
        <v>813</v>
      </c>
      <c r="D385" s="2" t="s">
        <v>66</v>
      </c>
      <c r="E385" s="2" t="s">
        <v>29</v>
      </c>
      <c r="F385" s="2" t="s">
        <v>67</v>
      </c>
      <c r="G385" s="2">
        <v>9</v>
      </c>
      <c r="H385" s="9">
        <v>15000</v>
      </c>
      <c r="I385" s="9">
        <v>135000</v>
      </c>
      <c r="J385" s="21">
        <v>45847</v>
      </c>
      <c r="K385" s="7" t="s">
        <v>1013</v>
      </c>
      <c r="L385" s="2" t="s">
        <v>13</v>
      </c>
      <c r="M385" s="2" t="s">
        <v>27</v>
      </c>
    </row>
    <row r="386" spans="1:13" x14ac:dyDescent="0.35">
      <c r="A386" s="2">
        <v>10003</v>
      </c>
      <c r="B386" s="2" t="s">
        <v>136</v>
      </c>
      <c r="C386" s="2" t="s">
        <v>814</v>
      </c>
      <c r="D386" s="2" t="s">
        <v>23</v>
      </c>
      <c r="E386" s="2" t="s">
        <v>15</v>
      </c>
      <c r="F386" s="2" t="s">
        <v>49</v>
      </c>
      <c r="G386" s="2">
        <v>5</v>
      </c>
      <c r="H386" s="9">
        <v>250000</v>
      </c>
      <c r="I386" s="9">
        <v>1250000</v>
      </c>
      <c r="J386" s="21">
        <v>46010</v>
      </c>
      <c r="K386" s="7" t="s">
        <v>1010</v>
      </c>
      <c r="L386" s="2" t="s">
        <v>13</v>
      </c>
      <c r="M386" s="2" t="s">
        <v>31</v>
      </c>
    </row>
    <row r="387" spans="1:13" x14ac:dyDescent="0.35">
      <c r="A387" s="2">
        <v>10035</v>
      </c>
      <c r="B387" s="2" t="s">
        <v>815</v>
      </c>
      <c r="C387" s="2" t="s">
        <v>816</v>
      </c>
      <c r="D387" s="2" t="s">
        <v>66</v>
      </c>
      <c r="E387" s="2" t="s">
        <v>15</v>
      </c>
      <c r="F387" s="2" t="s">
        <v>16</v>
      </c>
      <c r="G387" s="2">
        <v>2</v>
      </c>
      <c r="H387" s="9">
        <v>99000</v>
      </c>
      <c r="I387" s="9">
        <v>198000</v>
      </c>
      <c r="J387" s="21">
        <v>45909</v>
      </c>
      <c r="K387" s="7" t="s">
        <v>1015</v>
      </c>
      <c r="L387" s="2" t="s">
        <v>24</v>
      </c>
      <c r="M387" s="2" t="s">
        <v>27</v>
      </c>
    </row>
    <row r="388" spans="1:13" x14ac:dyDescent="0.35">
      <c r="A388" s="2">
        <v>10369</v>
      </c>
      <c r="B388" s="2" t="s">
        <v>817</v>
      </c>
      <c r="C388" s="2" t="s">
        <v>818</v>
      </c>
      <c r="D388" s="2" t="s">
        <v>117</v>
      </c>
      <c r="E388" s="2" t="s">
        <v>18</v>
      </c>
      <c r="F388" s="2" t="s">
        <v>26</v>
      </c>
      <c r="G388" s="2">
        <v>10</v>
      </c>
      <c r="H388" s="9">
        <v>250000</v>
      </c>
      <c r="I388" s="9">
        <v>2500000</v>
      </c>
      <c r="J388" s="21">
        <v>45907</v>
      </c>
      <c r="K388" s="7" t="s">
        <v>1015</v>
      </c>
      <c r="L388" s="2" t="s">
        <v>36</v>
      </c>
      <c r="M388" s="2" t="s">
        <v>14</v>
      </c>
    </row>
    <row r="389" spans="1:13" x14ac:dyDescent="0.35">
      <c r="A389" s="2">
        <v>10522</v>
      </c>
      <c r="B389" s="2" t="s">
        <v>450</v>
      </c>
      <c r="C389" s="2" t="s">
        <v>270</v>
      </c>
      <c r="D389" s="2" t="s">
        <v>82</v>
      </c>
      <c r="E389" s="2" t="s">
        <v>11</v>
      </c>
      <c r="F389" s="2" t="s">
        <v>39</v>
      </c>
      <c r="G389" s="2">
        <v>5</v>
      </c>
      <c r="H389" s="9">
        <v>250000</v>
      </c>
      <c r="I389" s="9">
        <v>1250000</v>
      </c>
      <c r="J389" s="21">
        <v>45907</v>
      </c>
      <c r="K389" s="7" t="s">
        <v>1015</v>
      </c>
      <c r="L389" s="2" t="s">
        <v>17</v>
      </c>
      <c r="M389" s="2" t="s">
        <v>25</v>
      </c>
    </row>
    <row r="390" spans="1:13" x14ac:dyDescent="0.35">
      <c r="A390" s="2">
        <v>10540</v>
      </c>
      <c r="B390" s="2" t="s">
        <v>271</v>
      </c>
      <c r="C390" s="2" t="s">
        <v>819</v>
      </c>
      <c r="D390" s="2" t="s">
        <v>148</v>
      </c>
      <c r="E390" s="2" t="s">
        <v>29</v>
      </c>
      <c r="F390" s="2" t="s">
        <v>41</v>
      </c>
      <c r="G390" s="2">
        <v>10</v>
      </c>
      <c r="H390" s="9">
        <v>45000</v>
      </c>
      <c r="I390" s="9">
        <v>450000</v>
      </c>
      <c r="J390" s="21">
        <v>45923</v>
      </c>
      <c r="K390" s="7" t="s">
        <v>1015</v>
      </c>
      <c r="L390" s="2" t="s">
        <v>13</v>
      </c>
      <c r="M390" s="2" t="s">
        <v>27</v>
      </c>
    </row>
    <row r="391" spans="1:13" x14ac:dyDescent="0.35">
      <c r="A391" s="2">
        <v>10169</v>
      </c>
      <c r="B391" s="2" t="s">
        <v>315</v>
      </c>
      <c r="C391" s="2" t="s">
        <v>820</v>
      </c>
      <c r="D391" s="2" t="s">
        <v>148</v>
      </c>
      <c r="E391" s="2" t="s">
        <v>18</v>
      </c>
      <c r="F391" s="2" t="s">
        <v>52</v>
      </c>
      <c r="G391" s="2">
        <v>1</v>
      </c>
      <c r="H391" s="9">
        <v>99000</v>
      </c>
      <c r="I391" s="9">
        <v>99000</v>
      </c>
      <c r="J391" s="21">
        <v>45827</v>
      </c>
      <c r="K391" s="7" t="s">
        <v>1007</v>
      </c>
      <c r="L391" s="2" t="s">
        <v>36</v>
      </c>
      <c r="M391" s="2" t="s">
        <v>14</v>
      </c>
    </row>
    <row r="392" spans="1:13" x14ac:dyDescent="0.35">
      <c r="A392" s="2">
        <v>10435</v>
      </c>
      <c r="B392" s="2" t="s">
        <v>821</v>
      </c>
      <c r="C392" s="2" t="s">
        <v>822</v>
      </c>
      <c r="D392" s="2" t="s">
        <v>66</v>
      </c>
      <c r="E392" s="2" t="s">
        <v>18</v>
      </c>
      <c r="F392" s="2" t="s">
        <v>57</v>
      </c>
      <c r="G392" s="2">
        <v>2</v>
      </c>
      <c r="H392" s="9">
        <v>45000</v>
      </c>
      <c r="I392" s="9">
        <v>90000</v>
      </c>
      <c r="J392" s="21">
        <v>45925</v>
      </c>
      <c r="K392" s="7" t="s">
        <v>1015</v>
      </c>
      <c r="L392" s="2" t="s">
        <v>24</v>
      </c>
      <c r="M392" s="2" t="s">
        <v>20</v>
      </c>
    </row>
    <row r="393" spans="1:13" x14ac:dyDescent="0.35">
      <c r="A393" s="2">
        <v>10411</v>
      </c>
      <c r="B393" s="2" t="s">
        <v>788</v>
      </c>
      <c r="C393" s="2" t="s">
        <v>272</v>
      </c>
      <c r="D393" s="2" t="s">
        <v>23</v>
      </c>
      <c r="E393" s="2" t="s">
        <v>18</v>
      </c>
      <c r="F393" s="2" t="s">
        <v>26</v>
      </c>
      <c r="G393" s="2">
        <v>8</v>
      </c>
      <c r="H393" s="9">
        <v>120000</v>
      </c>
      <c r="I393" s="9">
        <v>960000</v>
      </c>
      <c r="J393" s="21">
        <v>45832</v>
      </c>
      <c r="K393" s="7" t="s">
        <v>1007</v>
      </c>
      <c r="L393" s="2" t="s">
        <v>24</v>
      </c>
      <c r="M393" s="2" t="s">
        <v>25</v>
      </c>
    </row>
    <row r="394" spans="1:13" x14ac:dyDescent="0.35">
      <c r="A394" s="2">
        <v>10056</v>
      </c>
      <c r="B394" s="2" t="s">
        <v>823</v>
      </c>
      <c r="C394" s="2" t="s">
        <v>824</v>
      </c>
      <c r="D394" s="2" t="s">
        <v>117</v>
      </c>
      <c r="E394" s="2" t="s">
        <v>29</v>
      </c>
      <c r="F394" s="2" t="s">
        <v>81</v>
      </c>
      <c r="G394" s="2">
        <v>8</v>
      </c>
      <c r="H394" s="9">
        <v>120000</v>
      </c>
      <c r="I394" s="9">
        <v>960000</v>
      </c>
      <c r="J394" s="21">
        <v>45843</v>
      </c>
      <c r="K394" s="7" t="s">
        <v>1013</v>
      </c>
      <c r="L394" s="2" t="s">
        <v>13</v>
      </c>
      <c r="M394" s="2" t="s">
        <v>27</v>
      </c>
    </row>
    <row r="395" spans="1:13" x14ac:dyDescent="0.35">
      <c r="A395" s="2">
        <v>10328</v>
      </c>
      <c r="B395" s="2" t="s">
        <v>475</v>
      </c>
      <c r="C395" s="2" t="s">
        <v>273</v>
      </c>
      <c r="D395" s="2" t="s">
        <v>59</v>
      </c>
      <c r="E395" s="2" t="s">
        <v>11</v>
      </c>
      <c r="F395" s="2" t="s">
        <v>61</v>
      </c>
      <c r="G395" s="2">
        <v>6</v>
      </c>
      <c r="H395" s="9">
        <v>25000</v>
      </c>
      <c r="I395" s="9">
        <v>150000</v>
      </c>
      <c r="J395" s="21">
        <v>45931</v>
      </c>
      <c r="K395" s="7" t="s">
        <v>1014</v>
      </c>
      <c r="L395" s="2" t="s">
        <v>13</v>
      </c>
      <c r="M395" s="2" t="s">
        <v>25</v>
      </c>
    </row>
    <row r="396" spans="1:13" x14ac:dyDescent="0.35">
      <c r="A396" s="2">
        <v>10256</v>
      </c>
      <c r="B396" s="2" t="s">
        <v>774</v>
      </c>
      <c r="C396" s="2" t="s">
        <v>274</v>
      </c>
      <c r="D396" s="2" t="s">
        <v>148</v>
      </c>
      <c r="E396" s="2" t="s">
        <v>18</v>
      </c>
      <c r="F396" s="2" t="s">
        <v>52</v>
      </c>
      <c r="G396" s="2">
        <v>10</v>
      </c>
      <c r="H396" s="9">
        <v>35000</v>
      </c>
      <c r="I396" s="9">
        <v>350000</v>
      </c>
      <c r="J396" s="21">
        <v>45883</v>
      </c>
      <c r="K396" s="7" t="s">
        <v>1008</v>
      </c>
      <c r="L396" s="2" t="s">
        <v>24</v>
      </c>
      <c r="M396" s="2" t="s">
        <v>31</v>
      </c>
    </row>
    <row r="397" spans="1:13" x14ac:dyDescent="0.35">
      <c r="A397" s="2">
        <v>10500</v>
      </c>
      <c r="B397" s="2" t="s">
        <v>275</v>
      </c>
      <c r="C397" s="2" t="s">
        <v>825</v>
      </c>
      <c r="D397" s="2" t="s">
        <v>46</v>
      </c>
      <c r="E397" s="2" t="s">
        <v>34</v>
      </c>
      <c r="F397" s="2" t="s">
        <v>47</v>
      </c>
      <c r="G397" s="2">
        <v>3</v>
      </c>
      <c r="H397" s="9">
        <v>99000</v>
      </c>
      <c r="I397" s="9">
        <v>297000</v>
      </c>
      <c r="J397" s="21">
        <v>45820</v>
      </c>
      <c r="K397" s="7" t="s">
        <v>1007</v>
      </c>
      <c r="L397" s="2" t="s">
        <v>13</v>
      </c>
      <c r="M397" s="2" t="s">
        <v>31</v>
      </c>
    </row>
    <row r="398" spans="1:13" x14ac:dyDescent="0.35">
      <c r="A398" s="2">
        <v>10407</v>
      </c>
      <c r="B398" s="2" t="s">
        <v>217</v>
      </c>
      <c r="C398" s="2" t="s">
        <v>826</v>
      </c>
      <c r="D398" s="2" t="s">
        <v>82</v>
      </c>
      <c r="E398" s="2" t="s">
        <v>15</v>
      </c>
      <c r="F398" s="2" t="s">
        <v>49</v>
      </c>
      <c r="G398" s="2">
        <v>5</v>
      </c>
      <c r="H398" s="9">
        <v>199000</v>
      </c>
      <c r="I398" s="9">
        <v>995000</v>
      </c>
      <c r="J398" s="21">
        <v>45863</v>
      </c>
      <c r="K398" s="7" t="s">
        <v>1013</v>
      </c>
      <c r="L398" s="2" t="s">
        <v>13</v>
      </c>
      <c r="M398" s="2" t="s">
        <v>14</v>
      </c>
    </row>
    <row r="399" spans="1:13" x14ac:dyDescent="0.35">
      <c r="A399" s="2">
        <v>10123</v>
      </c>
      <c r="B399" s="2" t="s">
        <v>827</v>
      </c>
      <c r="C399" s="2" t="s">
        <v>828</v>
      </c>
      <c r="D399" s="2" t="s">
        <v>82</v>
      </c>
      <c r="E399" s="2" t="s">
        <v>15</v>
      </c>
      <c r="F399" s="2" t="s">
        <v>55</v>
      </c>
      <c r="G399" s="2">
        <v>3</v>
      </c>
      <c r="H399" s="9">
        <v>50000</v>
      </c>
      <c r="I399" s="9">
        <v>150000</v>
      </c>
      <c r="J399" s="21">
        <v>45822</v>
      </c>
      <c r="K399" s="7" t="s">
        <v>1007</v>
      </c>
      <c r="L399" s="2" t="s">
        <v>13</v>
      </c>
      <c r="M399" s="2" t="s">
        <v>31</v>
      </c>
    </row>
    <row r="400" spans="1:13" x14ac:dyDescent="0.35">
      <c r="A400" s="2">
        <v>10227</v>
      </c>
      <c r="B400" s="2" t="s">
        <v>510</v>
      </c>
      <c r="C400" s="2" t="s">
        <v>829</v>
      </c>
      <c r="D400" s="2" t="s">
        <v>46</v>
      </c>
      <c r="E400" s="2" t="s">
        <v>18</v>
      </c>
      <c r="F400" s="2" t="s">
        <v>57</v>
      </c>
      <c r="G400" s="2">
        <v>8</v>
      </c>
      <c r="H400" s="9">
        <v>75000</v>
      </c>
      <c r="I400" s="9">
        <v>600000</v>
      </c>
      <c r="J400" s="21">
        <v>45975</v>
      </c>
      <c r="K400" s="7" t="s">
        <v>1009</v>
      </c>
      <c r="L400" s="2" t="s">
        <v>17</v>
      </c>
      <c r="M400" s="2" t="s">
        <v>20</v>
      </c>
    </row>
    <row r="401" spans="1:13" x14ac:dyDescent="0.35">
      <c r="A401" s="2">
        <v>10308</v>
      </c>
      <c r="B401" s="2" t="s">
        <v>830</v>
      </c>
      <c r="C401" s="2" t="s">
        <v>276</v>
      </c>
      <c r="D401" s="2" t="s">
        <v>23</v>
      </c>
      <c r="E401" s="2" t="s">
        <v>11</v>
      </c>
      <c r="F401" s="2" t="s">
        <v>61</v>
      </c>
      <c r="G401" s="2">
        <v>10</v>
      </c>
      <c r="H401" s="9">
        <v>120000</v>
      </c>
      <c r="I401" s="9">
        <v>1200000</v>
      </c>
      <c r="J401" s="21">
        <v>45680</v>
      </c>
      <c r="K401" s="7" t="s">
        <v>1005</v>
      </c>
      <c r="L401" s="2" t="s">
        <v>24</v>
      </c>
      <c r="M401" s="2" t="s">
        <v>14</v>
      </c>
    </row>
    <row r="402" spans="1:13" x14ac:dyDescent="0.35">
      <c r="A402" s="2">
        <v>10458</v>
      </c>
      <c r="B402" s="2" t="s">
        <v>831</v>
      </c>
      <c r="C402" s="2" t="s">
        <v>436</v>
      </c>
      <c r="D402" s="2" t="s">
        <v>86</v>
      </c>
      <c r="E402" s="2" t="s">
        <v>18</v>
      </c>
      <c r="F402" s="2" t="s">
        <v>57</v>
      </c>
      <c r="G402" s="2">
        <v>8</v>
      </c>
      <c r="H402" s="9">
        <v>199000</v>
      </c>
      <c r="I402" s="9">
        <v>1592000</v>
      </c>
      <c r="J402" s="21">
        <v>45907</v>
      </c>
      <c r="K402" s="7" t="s">
        <v>1015</v>
      </c>
      <c r="L402" s="2" t="s">
        <v>24</v>
      </c>
      <c r="M402" s="2" t="s">
        <v>25</v>
      </c>
    </row>
    <row r="403" spans="1:13" x14ac:dyDescent="0.35">
      <c r="A403" s="2">
        <v>10125</v>
      </c>
      <c r="B403" s="2" t="s">
        <v>810</v>
      </c>
      <c r="C403" s="2" t="s">
        <v>832</v>
      </c>
      <c r="D403" s="2" t="s">
        <v>117</v>
      </c>
      <c r="E403" s="2" t="s">
        <v>18</v>
      </c>
      <c r="F403" s="2" t="s">
        <v>52</v>
      </c>
      <c r="G403" s="2">
        <v>9</v>
      </c>
      <c r="H403" s="9">
        <v>15000</v>
      </c>
      <c r="I403" s="9">
        <v>135000</v>
      </c>
      <c r="J403" s="21">
        <v>45842</v>
      </c>
      <c r="K403" s="7" t="s">
        <v>1013</v>
      </c>
      <c r="L403" s="2" t="s">
        <v>13</v>
      </c>
      <c r="M403" s="2" t="s">
        <v>27</v>
      </c>
    </row>
    <row r="404" spans="1:13" x14ac:dyDescent="0.35">
      <c r="A404" s="2">
        <v>10235</v>
      </c>
      <c r="B404" s="2" t="s">
        <v>277</v>
      </c>
      <c r="C404" s="2" t="s">
        <v>833</v>
      </c>
      <c r="D404" s="2" t="s">
        <v>86</v>
      </c>
      <c r="E404" s="2" t="s">
        <v>34</v>
      </c>
      <c r="F404" s="2" t="s">
        <v>35</v>
      </c>
      <c r="G404" s="2">
        <v>7</v>
      </c>
      <c r="H404" s="9">
        <v>50000</v>
      </c>
      <c r="I404" s="9">
        <v>350000</v>
      </c>
      <c r="J404" s="21">
        <v>45775</v>
      </c>
      <c r="K404" s="7" t="s">
        <v>1012</v>
      </c>
      <c r="L404" s="2" t="s">
        <v>36</v>
      </c>
      <c r="M404" s="2" t="s">
        <v>25</v>
      </c>
    </row>
    <row r="405" spans="1:13" x14ac:dyDescent="0.35">
      <c r="A405" s="2">
        <v>10236</v>
      </c>
      <c r="B405" s="2" t="s">
        <v>834</v>
      </c>
      <c r="C405" s="2" t="s">
        <v>835</v>
      </c>
      <c r="D405" s="2" t="s">
        <v>82</v>
      </c>
      <c r="E405" s="2" t="s">
        <v>18</v>
      </c>
      <c r="F405" s="2" t="s">
        <v>19</v>
      </c>
      <c r="G405" s="2">
        <v>10</v>
      </c>
      <c r="H405" s="9">
        <v>199000</v>
      </c>
      <c r="I405" s="9">
        <v>1990000</v>
      </c>
      <c r="J405" s="21">
        <v>45891</v>
      </c>
      <c r="K405" s="7" t="s">
        <v>1008</v>
      </c>
      <c r="L405" s="2" t="s">
        <v>13</v>
      </c>
      <c r="M405" s="2" t="s">
        <v>20</v>
      </c>
    </row>
    <row r="406" spans="1:13" x14ac:dyDescent="0.35">
      <c r="A406" s="2">
        <v>10295</v>
      </c>
      <c r="B406" s="2" t="s">
        <v>97</v>
      </c>
      <c r="C406" s="2" t="s">
        <v>436</v>
      </c>
      <c r="D406" s="2" t="s">
        <v>59</v>
      </c>
      <c r="E406" s="2" t="s">
        <v>34</v>
      </c>
      <c r="F406" s="2" t="s">
        <v>45</v>
      </c>
      <c r="G406" s="2">
        <v>9</v>
      </c>
      <c r="H406" s="9">
        <v>15000</v>
      </c>
      <c r="I406" s="9">
        <v>135000</v>
      </c>
      <c r="J406" s="21">
        <v>45973</v>
      </c>
      <c r="K406" s="7" t="s">
        <v>1009</v>
      </c>
      <c r="L406" s="2" t="s">
        <v>24</v>
      </c>
      <c r="M406" s="2" t="s">
        <v>14</v>
      </c>
    </row>
    <row r="407" spans="1:13" x14ac:dyDescent="0.35">
      <c r="A407" s="2">
        <v>10105</v>
      </c>
      <c r="B407" s="2" t="s">
        <v>836</v>
      </c>
      <c r="C407" s="2" t="s">
        <v>837</v>
      </c>
      <c r="D407" s="2" t="s">
        <v>59</v>
      </c>
      <c r="E407" s="2" t="s">
        <v>29</v>
      </c>
      <c r="F407" s="2" t="s">
        <v>41</v>
      </c>
      <c r="G407" s="2">
        <v>1</v>
      </c>
      <c r="H407" s="9">
        <v>25000</v>
      </c>
      <c r="I407" s="9">
        <v>25000</v>
      </c>
      <c r="J407" s="21">
        <v>45899</v>
      </c>
      <c r="K407" s="7" t="s">
        <v>1008</v>
      </c>
      <c r="L407" s="2" t="s">
        <v>24</v>
      </c>
      <c r="M407" s="2" t="s">
        <v>25</v>
      </c>
    </row>
    <row r="408" spans="1:13" x14ac:dyDescent="0.35">
      <c r="A408" s="2">
        <v>10015</v>
      </c>
      <c r="B408" s="2" t="s">
        <v>327</v>
      </c>
      <c r="C408" s="2" t="s">
        <v>838</v>
      </c>
      <c r="D408" s="2" t="s">
        <v>86</v>
      </c>
      <c r="E408" s="2" t="s">
        <v>34</v>
      </c>
      <c r="F408" s="2" t="s">
        <v>45</v>
      </c>
      <c r="G408" s="2">
        <v>4</v>
      </c>
      <c r="H408" s="9">
        <v>250000</v>
      </c>
      <c r="I408" s="9">
        <v>1000000</v>
      </c>
      <c r="J408" s="21">
        <v>45982</v>
      </c>
      <c r="K408" s="7" t="s">
        <v>1009</v>
      </c>
      <c r="L408" s="2" t="s">
        <v>17</v>
      </c>
      <c r="M408" s="2" t="s">
        <v>27</v>
      </c>
    </row>
    <row r="409" spans="1:13" x14ac:dyDescent="0.35">
      <c r="A409" s="2">
        <v>10558</v>
      </c>
      <c r="B409" s="2" t="s">
        <v>627</v>
      </c>
      <c r="C409" s="2" t="s">
        <v>278</v>
      </c>
      <c r="D409" s="2" t="s">
        <v>66</v>
      </c>
      <c r="E409" s="2" t="s">
        <v>34</v>
      </c>
      <c r="F409" s="2" t="s">
        <v>35</v>
      </c>
      <c r="G409" s="2">
        <v>3</v>
      </c>
      <c r="H409" s="9">
        <v>150000</v>
      </c>
      <c r="I409" s="9">
        <v>450000</v>
      </c>
      <c r="J409" s="21">
        <v>45929</v>
      </c>
      <c r="K409" s="7" t="s">
        <v>1015</v>
      </c>
      <c r="L409" s="2" t="s">
        <v>40</v>
      </c>
      <c r="M409" s="2" t="s">
        <v>20</v>
      </c>
    </row>
    <row r="410" spans="1:13" x14ac:dyDescent="0.35">
      <c r="A410" s="2">
        <v>10067</v>
      </c>
      <c r="B410" s="2" t="s">
        <v>839</v>
      </c>
      <c r="C410" s="2" t="s">
        <v>436</v>
      </c>
      <c r="D410" s="2" t="s">
        <v>46</v>
      </c>
      <c r="E410" s="2" t="s">
        <v>11</v>
      </c>
      <c r="F410" s="2" t="s">
        <v>39</v>
      </c>
      <c r="G410" s="2">
        <v>2</v>
      </c>
      <c r="H410" s="9">
        <v>50000</v>
      </c>
      <c r="I410" s="9">
        <v>100000</v>
      </c>
      <c r="J410" s="21">
        <v>45894</v>
      </c>
      <c r="K410" s="7" t="s">
        <v>1008</v>
      </c>
      <c r="L410" s="2" t="s">
        <v>40</v>
      </c>
      <c r="M410" s="2" t="s">
        <v>14</v>
      </c>
    </row>
    <row r="411" spans="1:13" x14ac:dyDescent="0.35">
      <c r="A411" s="2">
        <v>10165</v>
      </c>
      <c r="B411" s="2" t="s">
        <v>454</v>
      </c>
      <c r="C411" s="2" t="s">
        <v>279</v>
      </c>
      <c r="D411" s="2" t="s">
        <v>117</v>
      </c>
      <c r="E411" s="2" t="s">
        <v>34</v>
      </c>
      <c r="F411" s="2" t="s">
        <v>47</v>
      </c>
      <c r="G411" s="2">
        <v>1</v>
      </c>
      <c r="H411" s="9">
        <v>50000</v>
      </c>
      <c r="I411" s="9">
        <v>50000</v>
      </c>
      <c r="J411" s="21">
        <v>45883</v>
      </c>
      <c r="K411" s="7" t="s">
        <v>1008</v>
      </c>
      <c r="L411" s="2" t="s">
        <v>40</v>
      </c>
      <c r="M411" s="2" t="s">
        <v>25</v>
      </c>
    </row>
    <row r="412" spans="1:13" x14ac:dyDescent="0.35">
      <c r="A412" s="2">
        <v>10102</v>
      </c>
      <c r="B412" s="2" t="s">
        <v>598</v>
      </c>
      <c r="C412" s="2" t="s">
        <v>280</v>
      </c>
      <c r="D412" s="2" t="s">
        <v>66</v>
      </c>
      <c r="E412" s="2" t="s">
        <v>29</v>
      </c>
      <c r="F412" s="2" t="s">
        <v>30</v>
      </c>
      <c r="G412" s="2">
        <v>5</v>
      </c>
      <c r="H412" s="9">
        <v>35000</v>
      </c>
      <c r="I412" s="9">
        <v>175000</v>
      </c>
      <c r="J412" s="21">
        <v>45865</v>
      </c>
      <c r="K412" s="7" t="s">
        <v>1013</v>
      </c>
      <c r="L412" s="2" t="s">
        <v>13</v>
      </c>
      <c r="M412" s="2" t="s">
        <v>25</v>
      </c>
    </row>
    <row r="413" spans="1:13" x14ac:dyDescent="0.35">
      <c r="A413" s="2">
        <v>10364</v>
      </c>
      <c r="B413" s="2" t="s">
        <v>702</v>
      </c>
      <c r="C413" s="2" t="s">
        <v>840</v>
      </c>
      <c r="D413" s="2" t="s">
        <v>148</v>
      </c>
      <c r="E413" s="2" t="s">
        <v>11</v>
      </c>
      <c r="F413" s="2" t="s">
        <v>50</v>
      </c>
      <c r="G413" s="2">
        <v>9</v>
      </c>
      <c r="H413" s="9">
        <v>99000</v>
      </c>
      <c r="I413" s="9">
        <v>891000</v>
      </c>
      <c r="J413" s="21">
        <v>45663</v>
      </c>
      <c r="K413" s="7" t="s">
        <v>1005</v>
      </c>
      <c r="L413" s="2" t="s">
        <v>13</v>
      </c>
      <c r="M413" s="2" t="s">
        <v>14</v>
      </c>
    </row>
    <row r="414" spans="1:13" x14ac:dyDescent="0.35">
      <c r="A414" s="2">
        <v>10459</v>
      </c>
      <c r="B414" s="2" t="s">
        <v>841</v>
      </c>
      <c r="C414" s="2" t="s">
        <v>842</v>
      </c>
      <c r="D414" s="2" t="s">
        <v>33</v>
      </c>
      <c r="E414" s="2" t="s">
        <v>11</v>
      </c>
      <c r="F414" s="2" t="s">
        <v>50</v>
      </c>
      <c r="G414" s="2">
        <v>7</v>
      </c>
      <c r="H414" s="9">
        <v>75000</v>
      </c>
      <c r="I414" s="9">
        <v>525000</v>
      </c>
      <c r="J414" s="21">
        <v>45662</v>
      </c>
      <c r="K414" s="7" t="s">
        <v>1005</v>
      </c>
      <c r="L414" s="2" t="s">
        <v>24</v>
      </c>
      <c r="M414" s="2" t="s">
        <v>20</v>
      </c>
    </row>
    <row r="415" spans="1:13" x14ac:dyDescent="0.35">
      <c r="A415" s="2">
        <v>10089</v>
      </c>
      <c r="B415" s="2" t="s">
        <v>219</v>
      </c>
      <c r="C415" s="2" t="s">
        <v>843</v>
      </c>
      <c r="D415" s="2" t="s">
        <v>82</v>
      </c>
      <c r="E415" s="2" t="s">
        <v>34</v>
      </c>
      <c r="F415" s="2" t="s">
        <v>45</v>
      </c>
      <c r="G415" s="2">
        <v>10</v>
      </c>
      <c r="H415" s="9">
        <v>35000</v>
      </c>
      <c r="I415" s="9">
        <v>350000</v>
      </c>
      <c r="J415" s="21">
        <v>45818</v>
      </c>
      <c r="K415" s="7" t="s">
        <v>1007</v>
      </c>
      <c r="L415" s="2" t="s">
        <v>17</v>
      </c>
      <c r="M415" s="2" t="s">
        <v>25</v>
      </c>
    </row>
    <row r="416" spans="1:13" x14ac:dyDescent="0.35">
      <c r="A416" s="2">
        <v>10122</v>
      </c>
      <c r="B416" s="2" t="s">
        <v>844</v>
      </c>
      <c r="C416" s="2" t="s">
        <v>845</v>
      </c>
      <c r="D416" s="2" t="s">
        <v>117</v>
      </c>
      <c r="E416" s="2" t="s">
        <v>15</v>
      </c>
      <c r="F416" s="2" t="s">
        <v>73</v>
      </c>
      <c r="G416" s="2">
        <v>8</v>
      </c>
      <c r="H416" s="9">
        <v>25000</v>
      </c>
      <c r="I416" s="9">
        <v>200000</v>
      </c>
      <c r="J416" s="21">
        <v>45754</v>
      </c>
      <c r="K416" s="7" t="s">
        <v>1012</v>
      </c>
      <c r="L416" s="2" t="s">
        <v>17</v>
      </c>
      <c r="M416" s="2" t="s">
        <v>31</v>
      </c>
    </row>
    <row r="417" spans="1:13" x14ac:dyDescent="0.35">
      <c r="A417" s="2">
        <v>10370</v>
      </c>
      <c r="B417" s="2" t="s">
        <v>212</v>
      </c>
      <c r="C417" s="2" t="s">
        <v>846</v>
      </c>
      <c r="D417" s="2" t="s">
        <v>117</v>
      </c>
      <c r="E417" s="2" t="s">
        <v>34</v>
      </c>
      <c r="F417" s="2" t="s">
        <v>45</v>
      </c>
      <c r="G417" s="2">
        <v>4</v>
      </c>
      <c r="H417" s="9">
        <v>120000</v>
      </c>
      <c r="I417" s="9">
        <v>480000</v>
      </c>
      <c r="J417" s="21">
        <v>45834</v>
      </c>
      <c r="K417" s="7" t="s">
        <v>1007</v>
      </c>
      <c r="L417" s="2" t="s">
        <v>40</v>
      </c>
      <c r="M417" s="2" t="s">
        <v>31</v>
      </c>
    </row>
    <row r="418" spans="1:13" x14ac:dyDescent="0.35">
      <c r="A418" s="2">
        <v>10234</v>
      </c>
      <c r="B418" s="2" t="s">
        <v>673</v>
      </c>
      <c r="C418" s="2" t="s">
        <v>436</v>
      </c>
      <c r="D418" s="2" t="s">
        <v>33</v>
      </c>
      <c r="E418" s="2" t="s">
        <v>34</v>
      </c>
      <c r="F418" s="2" t="s">
        <v>47</v>
      </c>
      <c r="G418" s="2">
        <v>2</v>
      </c>
      <c r="H418" s="9">
        <v>25000</v>
      </c>
      <c r="I418" s="9">
        <v>50000</v>
      </c>
      <c r="J418" s="21">
        <v>45690</v>
      </c>
      <c r="K418" s="7" t="s">
        <v>1011</v>
      </c>
      <c r="L418" s="2" t="s">
        <v>40</v>
      </c>
      <c r="M418" s="2" t="s">
        <v>27</v>
      </c>
    </row>
    <row r="419" spans="1:13" x14ac:dyDescent="0.35">
      <c r="A419" s="2">
        <v>10082</v>
      </c>
      <c r="B419" s="2" t="s">
        <v>281</v>
      </c>
      <c r="C419" s="2" t="s">
        <v>847</v>
      </c>
      <c r="D419" s="2" t="s">
        <v>148</v>
      </c>
      <c r="E419" s="2" t="s">
        <v>34</v>
      </c>
      <c r="F419" s="2" t="s">
        <v>45</v>
      </c>
      <c r="G419" s="2">
        <v>6</v>
      </c>
      <c r="H419" s="9">
        <v>99000</v>
      </c>
      <c r="I419" s="9">
        <v>594000</v>
      </c>
      <c r="J419" s="21">
        <v>45948</v>
      </c>
      <c r="K419" s="7" t="s">
        <v>1014</v>
      </c>
      <c r="L419" s="2" t="s">
        <v>24</v>
      </c>
      <c r="M419" s="2" t="s">
        <v>27</v>
      </c>
    </row>
    <row r="420" spans="1:13" x14ac:dyDescent="0.35">
      <c r="A420" s="2">
        <v>10098</v>
      </c>
      <c r="B420" s="2" t="s">
        <v>603</v>
      </c>
      <c r="C420" s="2" t="s">
        <v>848</v>
      </c>
      <c r="D420" s="2" t="s">
        <v>33</v>
      </c>
      <c r="E420" s="2" t="s">
        <v>18</v>
      </c>
      <c r="F420" s="2" t="s">
        <v>19</v>
      </c>
      <c r="G420" s="2">
        <v>4</v>
      </c>
      <c r="H420" s="9">
        <v>15000</v>
      </c>
      <c r="I420" s="9">
        <v>60000</v>
      </c>
      <c r="J420" s="21">
        <v>46000</v>
      </c>
      <c r="K420" s="7" t="s">
        <v>1010</v>
      </c>
      <c r="L420" s="2" t="s">
        <v>13</v>
      </c>
      <c r="M420" s="2" t="s">
        <v>31</v>
      </c>
    </row>
    <row r="421" spans="1:13" x14ac:dyDescent="0.35">
      <c r="A421" s="2">
        <v>10442</v>
      </c>
      <c r="B421" s="2" t="s">
        <v>849</v>
      </c>
      <c r="C421" s="2" t="s">
        <v>282</v>
      </c>
      <c r="D421" s="2" t="s">
        <v>82</v>
      </c>
      <c r="E421" s="2" t="s">
        <v>18</v>
      </c>
      <c r="F421" s="2" t="s">
        <v>70</v>
      </c>
      <c r="G421" s="2">
        <v>3</v>
      </c>
      <c r="H421" s="9">
        <v>250000</v>
      </c>
      <c r="I421" s="9">
        <v>750000</v>
      </c>
      <c r="J421" s="21">
        <v>46017</v>
      </c>
      <c r="K421" s="7" t="s">
        <v>1010</v>
      </c>
      <c r="L421" s="2" t="s">
        <v>24</v>
      </c>
      <c r="M421" s="2" t="s">
        <v>27</v>
      </c>
    </row>
    <row r="422" spans="1:13" x14ac:dyDescent="0.35">
      <c r="A422" s="2">
        <v>10560</v>
      </c>
      <c r="B422" s="2" t="s">
        <v>116</v>
      </c>
      <c r="C422" s="2" t="s">
        <v>850</v>
      </c>
      <c r="D422" s="2" t="s">
        <v>46</v>
      </c>
      <c r="E422" s="2" t="s">
        <v>29</v>
      </c>
      <c r="F422" s="2" t="s">
        <v>67</v>
      </c>
      <c r="G422" s="2">
        <v>5</v>
      </c>
      <c r="H422" s="9">
        <v>120000</v>
      </c>
      <c r="I422" s="9">
        <v>600000</v>
      </c>
      <c r="J422" s="21">
        <v>45832</v>
      </c>
      <c r="K422" s="7" t="s">
        <v>1007</v>
      </c>
      <c r="L422" s="2" t="s">
        <v>24</v>
      </c>
      <c r="M422" s="2" t="s">
        <v>27</v>
      </c>
    </row>
    <row r="423" spans="1:13" x14ac:dyDescent="0.35">
      <c r="A423" s="2">
        <v>10282</v>
      </c>
      <c r="B423" s="2" t="s">
        <v>851</v>
      </c>
      <c r="C423" s="2" t="s">
        <v>852</v>
      </c>
      <c r="D423" s="2" t="s">
        <v>46</v>
      </c>
      <c r="E423" s="2" t="s">
        <v>18</v>
      </c>
      <c r="F423" s="2" t="s">
        <v>57</v>
      </c>
      <c r="G423" s="2">
        <v>7</v>
      </c>
      <c r="H423" s="9">
        <v>25000</v>
      </c>
      <c r="I423" s="9">
        <v>175000</v>
      </c>
      <c r="J423" s="21">
        <v>45824</v>
      </c>
      <c r="K423" s="7" t="s">
        <v>1007</v>
      </c>
      <c r="L423" s="2" t="s">
        <v>13</v>
      </c>
      <c r="M423" s="2" t="s">
        <v>14</v>
      </c>
    </row>
    <row r="424" spans="1:13" x14ac:dyDescent="0.35">
      <c r="A424" s="2">
        <v>10199</v>
      </c>
      <c r="B424" s="2" t="s">
        <v>366</v>
      </c>
      <c r="C424" s="2" t="s">
        <v>283</v>
      </c>
      <c r="D424" s="2" t="s">
        <v>63</v>
      </c>
      <c r="E424" s="2" t="s">
        <v>34</v>
      </c>
      <c r="F424" s="2" t="s">
        <v>77</v>
      </c>
      <c r="G424" s="2">
        <v>2</v>
      </c>
      <c r="H424" s="9">
        <v>150000</v>
      </c>
      <c r="I424" s="9">
        <v>300000</v>
      </c>
      <c r="J424" s="21">
        <v>45739</v>
      </c>
      <c r="K424" s="7" t="s">
        <v>1016</v>
      </c>
      <c r="L424" s="2" t="s">
        <v>40</v>
      </c>
      <c r="M424" s="2" t="s">
        <v>27</v>
      </c>
    </row>
    <row r="425" spans="1:13" x14ac:dyDescent="0.35">
      <c r="A425" s="2">
        <v>10404</v>
      </c>
      <c r="B425" s="2" t="s">
        <v>638</v>
      </c>
      <c r="C425" s="2" t="s">
        <v>853</v>
      </c>
      <c r="D425" s="2" t="s">
        <v>148</v>
      </c>
      <c r="E425" s="2" t="s">
        <v>18</v>
      </c>
      <c r="F425" s="2" t="s">
        <v>19</v>
      </c>
      <c r="G425" s="2">
        <v>3</v>
      </c>
      <c r="H425" s="9">
        <v>45000</v>
      </c>
      <c r="I425" s="9">
        <v>135000</v>
      </c>
      <c r="J425" s="21">
        <v>45992</v>
      </c>
      <c r="K425" s="7" t="s">
        <v>1010</v>
      </c>
      <c r="L425" s="2" t="s">
        <v>36</v>
      </c>
      <c r="M425" s="2" t="s">
        <v>25</v>
      </c>
    </row>
    <row r="426" spans="1:13" x14ac:dyDescent="0.35">
      <c r="A426" s="2">
        <v>10452</v>
      </c>
      <c r="B426" s="2" t="s">
        <v>284</v>
      </c>
      <c r="C426" s="2" t="s">
        <v>436</v>
      </c>
      <c r="D426" s="2" t="s">
        <v>59</v>
      </c>
      <c r="E426" s="2" t="s">
        <v>29</v>
      </c>
      <c r="F426" s="2" t="s">
        <v>64</v>
      </c>
      <c r="G426" s="2">
        <v>6</v>
      </c>
      <c r="H426" s="9">
        <v>50000</v>
      </c>
      <c r="I426" s="9">
        <v>300000</v>
      </c>
      <c r="J426" s="21">
        <v>45732</v>
      </c>
      <c r="K426" s="7" t="s">
        <v>1016</v>
      </c>
      <c r="L426" s="2" t="s">
        <v>36</v>
      </c>
      <c r="M426" s="2" t="s">
        <v>25</v>
      </c>
    </row>
    <row r="427" spans="1:13" x14ac:dyDescent="0.35">
      <c r="A427" s="2">
        <v>10307</v>
      </c>
      <c r="B427" s="2" t="s">
        <v>854</v>
      </c>
      <c r="C427" s="2" t="s">
        <v>855</v>
      </c>
      <c r="D427" s="2" t="s">
        <v>23</v>
      </c>
      <c r="E427" s="2" t="s">
        <v>29</v>
      </c>
      <c r="F427" s="2" t="s">
        <v>41</v>
      </c>
      <c r="G427" s="2">
        <v>2</v>
      </c>
      <c r="H427" s="9">
        <v>199000</v>
      </c>
      <c r="I427" s="9">
        <v>398000</v>
      </c>
      <c r="J427" s="21">
        <v>45784</v>
      </c>
      <c r="K427" s="7" t="s">
        <v>1006</v>
      </c>
      <c r="L427" s="2" t="s">
        <v>13</v>
      </c>
      <c r="M427" s="2" t="s">
        <v>27</v>
      </c>
    </row>
    <row r="428" spans="1:13" x14ac:dyDescent="0.35">
      <c r="A428" s="2">
        <v>10380</v>
      </c>
      <c r="B428" s="2" t="s">
        <v>734</v>
      </c>
      <c r="C428" s="2" t="s">
        <v>285</v>
      </c>
      <c r="D428" s="2" t="s">
        <v>117</v>
      </c>
      <c r="E428" s="2" t="s">
        <v>18</v>
      </c>
      <c r="F428" s="2" t="s">
        <v>26</v>
      </c>
      <c r="G428" s="2">
        <v>7</v>
      </c>
      <c r="H428" s="9">
        <v>50000</v>
      </c>
      <c r="I428" s="9">
        <v>350000</v>
      </c>
      <c r="J428" s="21">
        <v>45957</v>
      </c>
      <c r="K428" s="7" t="s">
        <v>1014</v>
      </c>
      <c r="L428" s="2" t="s">
        <v>40</v>
      </c>
      <c r="M428" s="2" t="s">
        <v>20</v>
      </c>
    </row>
    <row r="429" spans="1:13" x14ac:dyDescent="0.35">
      <c r="A429" s="2">
        <v>10466</v>
      </c>
      <c r="B429" s="2" t="s">
        <v>591</v>
      </c>
      <c r="C429" s="2" t="s">
        <v>286</v>
      </c>
      <c r="D429" s="2" t="s">
        <v>63</v>
      </c>
      <c r="E429" s="2" t="s">
        <v>11</v>
      </c>
      <c r="F429" s="2" t="s">
        <v>50</v>
      </c>
      <c r="G429" s="2">
        <v>5</v>
      </c>
      <c r="H429" s="9">
        <v>45000</v>
      </c>
      <c r="I429" s="9">
        <v>225000</v>
      </c>
      <c r="J429" s="21">
        <v>45957</v>
      </c>
      <c r="K429" s="7" t="s">
        <v>1014</v>
      </c>
      <c r="L429" s="2" t="s">
        <v>40</v>
      </c>
      <c r="M429" s="2" t="s">
        <v>14</v>
      </c>
    </row>
    <row r="430" spans="1:13" x14ac:dyDescent="0.35">
      <c r="A430" s="2">
        <v>10189</v>
      </c>
      <c r="B430" s="2" t="s">
        <v>856</v>
      </c>
      <c r="C430" s="2" t="s">
        <v>436</v>
      </c>
      <c r="D430" s="2" t="s">
        <v>86</v>
      </c>
      <c r="E430" s="2" t="s">
        <v>18</v>
      </c>
      <c r="F430" s="2" t="s">
        <v>19</v>
      </c>
      <c r="G430" s="2">
        <v>9</v>
      </c>
      <c r="H430" s="9">
        <v>250000</v>
      </c>
      <c r="I430" s="9">
        <v>2250000</v>
      </c>
      <c r="J430" s="21">
        <v>45851</v>
      </c>
      <c r="K430" s="7" t="s">
        <v>1013</v>
      </c>
      <c r="L430" s="2" t="s">
        <v>40</v>
      </c>
      <c r="M430" s="2" t="s">
        <v>31</v>
      </c>
    </row>
    <row r="431" spans="1:13" x14ac:dyDescent="0.35">
      <c r="A431" s="2">
        <v>10350</v>
      </c>
      <c r="B431" s="2" t="s">
        <v>857</v>
      </c>
      <c r="C431" s="2" t="s">
        <v>858</v>
      </c>
      <c r="D431" s="2" t="s">
        <v>86</v>
      </c>
      <c r="E431" s="2" t="s">
        <v>34</v>
      </c>
      <c r="F431" s="2" t="s">
        <v>45</v>
      </c>
      <c r="G431" s="2">
        <v>4</v>
      </c>
      <c r="H431" s="9">
        <v>35000</v>
      </c>
      <c r="I431" s="9">
        <v>140000</v>
      </c>
      <c r="J431" s="21">
        <v>45882</v>
      </c>
      <c r="K431" s="7" t="s">
        <v>1008</v>
      </c>
      <c r="L431" s="2" t="s">
        <v>17</v>
      </c>
      <c r="M431" s="2" t="s">
        <v>20</v>
      </c>
    </row>
    <row r="432" spans="1:13" x14ac:dyDescent="0.35">
      <c r="A432" s="2">
        <v>10241</v>
      </c>
      <c r="B432" s="2" t="s">
        <v>287</v>
      </c>
      <c r="C432" s="2" t="s">
        <v>288</v>
      </c>
      <c r="D432" s="2" t="s">
        <v>23</v>
      </c>
      <c r="E432" s="2" t="s">
        <v>15</v>
      </c>
      <c r="F432" s="2" t="s">
        <v>42</v>
      </c>
      <c r="G432" s="2">
        <v>1</v>
      </c>
      <c r="H432" s="9">
        <v>45000</v>
      </c>
      <c r="I432" s="9">
        <v>45000</v>
      </c>
      <c r="J432" s="21">
        <v>45893</v>
      </c>
      <c r="K432" s="7" t="s">
        <v>1008</v>
      </c>
      <c r="L432" s="2" t="s">
        <v>24</v>
      </c>
      <c r="M432" s="2" t="s">
        <v>27</v>
      </c>
    </row>
    <row r="433" spans="1:13" x14ac:dyDescent="0.35">
      <c r="A433" s="2">
        <v>10320</v>
      </c>
      <c r="B433" s="2" t="s">
        <v>692</v>
      </c>
      <c r="C433" s="2" t="s">
        <v>859</v>
      </c>
      <c r="D433" s="2" t="s">
        <v>148</v>
      </c>
      <c r="E433" s="2" t="s">
        <v>15</v>
      </c>
      <c r="F433" s="2" t="s">
        <v>55</v>
      </c>
      <c r="G433" s="2">
        <v>3</v>
      </c>
      <c r="H433" s="9">
        <v>150000</v>
      </c>
      <c r="I433" s="9">
        <v>450000</v>
      </c>
      <c r="J433" s="21">
        <v>45812</v>
      </c>
      <c r="K433" s="7" t="s">
        <v>1007</v>
      </c>
      <c r="L433" s="2" t="s">
        <v>24</v>
      </c>
      <c r="M433" s="2" t="s">
        <v>14</v>
      </c>
    </row>
    <row r="434" spans="1:13" x14ac:dyDescent="0.35">
      <c r="A434" s="2">
        <v>10484</v>
      </c>
      <c r="B434" s="2" t="s">
        <v>289</v>
      </c>
      <c r="C434" s="2" t="s">
        <v>290</v>
      </c>
      <c r="D434" s="2" t="s">
        <v>23</v>
      </c>
      <c r="E434" s="2" t="s">
        <v>34</v>
      </c>
      <c r="F434" s="2" t="s">
        <v>77</v>
      </c>
      <c r="G434" s="2">
        <v>2</v>
      </c>
      <c r="H434" s="9">
        <v>25000</v>
      </c>
      <c r="I434" s="9">
        <v>50000</v>
      </c>
      <c r="J434" s="21">
        <v>45766</v>
      </c>
      <c r="K434" s="7" t="s">
        <v>1012</v>
      </c>
      <c r="L434" s="2" t="s">
        <v>13</v>
      </c>
      <c r="M434" s="2" t="s">
        <v>14</v>
      </c>
    </row>
    <row r="435" spans="1:13" x14ac:dyDescent="0.35">
      <c r="A435" s="2">
        <v>10577</v>
      </c>
      <c r="B435" s="2" t="s">
        <v>860</v>
      </c>
      <c r="C435" s="2" t="s">
        <v>291</v>
      </c>
      <c r="D435" s="2" t="s">
        <v>23</v>
      </c>
      <c r="E435" s="2" t="s">
        <v>29</v>
      </c>
      <c r="F435" s="2" t="s">
        <v>81</v>
      </c>
      <c r="G435" s="2">
        <v>7</v>
      </c>
      <c r="H435" s="9">
        <v>120000</v>
      </c>
      <c r="I435" s="9">
        <v>840000</v>
      </c>
      <c r="J435" s="21">
        <v>45745</v>
      </c>
      <c r="K435" s="7" t="s">
        <v>1016</v>
      </c>
      <c r="L435" s="2" t="s">
        <v>13</v>
      </c>
      <c r="M435" s="2" t="s">
        <v>20</v>
      </c>
    </row>
    <row r="436" spans="1:13" x14ac:dyDescent="0.35">
      <c r="A436" s="2">
        <v>10127</v>
      </c>
      <c r="B436" s="2" t="s">
        <v>292</v>
      </c>
      <c r="C436" s="2" t="s">
        <v>293</v>
      </c>
      <c r="D436" s="2" t="s">
        <v>148</v>
      </c>
      <c r="E436" s="2" t="s">
        <v>11</v>
      </c>
      <c r="F436" s="2" t="s">
        <v>61</v>
      </c>
      <c r="G436" s="2">
        <v>8</v>
      </c>
      <c r="H436" s="9">
        <v>45000</v>
      </c>
      <c r="I436" s="9">
        <v>360000</v>
      </c>
      <c r="J436" s="21">
        <v>45924</v>
      </c>
      <c r="K436" s="7" t="s">
        <v>1015</v>
      </c>
      <c r="L436" s="2" t="s">
        <v>40</v>
      </c>
      <c r="M436" s="2" t="s">
        <v>25</v>
      </c>
    </row>
    <row r="437" spans="1:13" x14ac:dyDescent="0.35">
      <c r="A437" s="2">
        <v>10474</v>
      </c>
      <c r="B437" s="2" t="s">
        <v>668</v>
      </c>
      <c r="C437" s="2" t="s">
        <v>294</v>
      </c>
      <c r="D437" s="2" t="s">
        <v>148</v>
      </c>
      <c r="E437" s="2" t="s">
        <v>18</v>
      </c>
      <c r="F437" s="2" t="s">
        <v>57</v>
      </c>
      <c r="G437" s="2">
        <v>1</v>
      </c>
      <c r="H437" s="9">
        <v>25000</v>
      </c>
      <c r="I437" s="9">
        <v>25000</v>
      </c>
      <c r="J437" s="21">
        <v>45935</v>
      </c>
      <c r="K437" s="7" t="s">
        <v>1014</v>
      </c>
      <c r="L437" s="2" t="s">
        <v>17</v>
      </c>
      <c r="M437" s="2" t="s">
        <v>14</v>
      </c>
    </row>
    <row r="438" spans="1:13" x14ac:dyDescent="0.35">
      <c r="A438" s="2">
        <v>10166</v>
      </c>
      <c r="B438" s="2" t="s">
        <v>861</v>
      </c>
      <c r="C438" s="2" t="s">
        <v>862</v>
      </c>
      <c r="D438" s="2" t="s">
        <v>63</v>
      </c>
      <c r="E438" s="2" t="s">
        <v>18</v>
      </c>
      <c r="F438" s="2" t="s">
        <v>52</v>
      </c>
      <c r="G438" s="2">
        <v>10</v>
      </c>
      <c r="H438" s="9">
        <v>45000</v>
      </c>
      <c r="I438" s="9">
        <v>450000</v>
      </c>
      <c r="J438" s="21">
        <v>45901</v>
      </c>
      <c r="K438" s="7" t="s">
        <v>1015</v>
      </c>
      <c r="L438" s="2" t="s">
        <v>17</v>
      </c>
      <c r="M438" s="2" t="s">
        <v>14</v>
      </c>
    </row>
    <row r="439" spans="1:13" x14ac:dyDescent="0.35">
      <c r="A439" s="2">
        <v>10011</v>
      </c>
      <c r="B439" s="2" t="s">
        <v>295</v>
      </c>
      <c r="C439" s="2" t="s">
        <v>863</v>
      </c>
      <c r="D439" s="2" t="s">
        <v>23</v>
      </c>
      <c r="E439" s="2" t="s">
        <v>15</v>
      </c>
      <c r="F439" s="2" t="s">
        <v>49</v>
      </c>
      <c r="G439" s="2">
        <v>8</v>
      </c>
      <c r="H439" s="9">
        <v>45000</v>
      </c>
      <c r="I439" s="9">
        <v>360000</v>
      </c>
      <c r="J439" s="21">
        <v>45863</v>
      </c>
      <c r="K439" s="7" t="s">
        <v>1013</v>
      </c>
      <c r="L439" s="2" t="s">
        <v>24</v>
      </c>
      <c r="M439" s="2" t="s">
        <v>31</v>
      </c>
    </row>
    <row r="440" spans="1:13" x14ac:dyDescent="0.35">
      <c r="A440" s="2">
        <v>10209</v>
      </c>
      <c r="B440" s="2" t="s">
        <v>122</v>
      </c>
      <c r="C440" s="2" t="s">
        <v>296</v>
      </c>
      <c r="D440" s="2" t="s">
        <v>46</v>
      </c>
      <c r="E440" s="2" t="s">
        <v>11</v>
      </c>
      <c r="F440" s="2" t="s">
        <v>50</v>
      </c>
      <c r="G440" s="2">
        <v>8</v>
      </c>
      <c r="H440" s="9">
        <v>150000</v>
      </c>
      <c r="I440" s="9">
        <v>1200000</v>
      </c>
      <c r="J440" s="21">
        <v>45919</v>
      </c>
      <c r="K440" s="7" t="s">
        <v>1015</v>
      </c>
      <c r="L440" s="2" t="s">
        <v>24</v>
      </c>
      <c r="M440" s="2" t="s">
        <v>20</v>
      </c>
    </row>
    <row r="441" spans="1:13" x14ac:dyDescent="0.35">
      <c r="A441" s="2">
        <v>10374</v>
      </c>
      <c r="B441" s="2" t="s">
        <v>297</v>
      </c>
      <c r="C441" s="2" t="s">
        <v>864</v>
      </c>
      <c r="D441" s="2" t="s">
        <v>23</v>
      </c>
      <c r="E441" s="2" t="s">
        <v>15</v>
      </c>
      <c r="F441" s="2" t="s">
        <v>16</v>
      </c>
      <c r="G441" s="2">
        <v>4</v>
      </c>
      <c r="H441" s="9">
        <v>120000</v>
      </c>
      <c r="I441" s="9">
        <v>480000</v>
      </c>
      <c r="J441" s="21">
        <v>45832</v>
      </c>
      <c r="K441" s="7" t="s">
        <v>1007</v>
      </c>
      <c r="L441" s="2" t="s">
        <v>17</v>
      </c>
      <c r="M441" s="2" t="s">
        <v>27</v>
      </c>
    </row>
    <row r="442" spans="1:13" x14ac:dyDescent="0.35">
      <c r="A442" s="2">
        <v>10292</v>
      </c>
      <c r="B442" s="2" t="s">
        <v>506</v>
      </c>
      <c r="C442" s="2" t="s">
        <v>865</v>
      </c>
      <c r="D442" s="2" t="s">
        <v>59</v>
      </c>
      <c r="E442" s="2" t="s">
        <v>11</v>
      </c>
      <c r="F442" s="2" t="s">
        <v>50</v>
      </c>
      <c r="G442" s="2">
        <v>8</v>
      </c>
      <c r="H442" s="9">
        <v>35000</v>
      </c>
      <c r="I442" s="9">
        <v>280000</v>
      </c>
      <c r="J442" s="21">
        <v>45928</v>
      </c>
      <c r="K442" s="7" t="s">
        <v>1015</v>
      </c>
      <c r="L442" s="2" t="s">
        <v>24</v>
      </c>
      <c r="M442" s="2" t="s">
        <v>25</v>
      </c>
    </row>
    <row r="443" spans="1:13" x14ac:dyDescent="0.35">
      <c r="A443" s="2">
        <v>10306</v>
      </c>
      <c r="B443" s="2" t="s">
        <v>94</v>
      </c>
      <c r="C443" s="2" t="s">
        <v>866</v>
      </c>
      <c r="D443" s="2" t="s">
        <v>86</v>
      </c>
      <c r="E443" s="2" t="s">
        <v>15</v>
      </c>
      <c r="F443" s="2" t="s">
        <v>42</v>
      </c>
      <c r="G443" s="2">
        <v>4</v>
      </c>
      <c r="H443" s="9">
        <v>35000</v>
      </c>
      <c r="I443" s="9">
        <v>140000</v>
      </c>
      <c r="J443" s="21">
        <v>45985</v>
      </c>
      <c r="K443" s="7" t="s">
        <v>1009</v>
      </c>
      <c r="L443" s="2" t="s">
        <v>17</v>
      </c>
      <c r="M443" s="2" t="s">
        <v>27</v>
      </c>
    </row>
    <row r="444" spans="1:13" x14ac:dyDescent="0.35">
      <c r="A444" s="2">
        <v>10332</v>
      </c>
      <c r="B444" s="2" t="s">
        <v>867</v>
      </c>
      <c r="C444" s="2" t="s">
        <v>868</v>
      </c>
      <c r="D444" s="2" t="s">
        <v>46</v>
      </c>
      <c r="E444" s="2" t="s">
        <v>18</v>
      </c>
      <c r="F444" s="2" t="s">
        <v>26</v>
      </c>
      <c r="G444" s="32">
        <v>2</v>
      </c>
      <c r="H444" s="9">
        <v>25000</v>
      </c>
      <c r="I444" s="9">
        <f>G444*H444</f>
        <v>50000</v>
      </c>
      <c r="J444" s="21">
        <v>45954</v>
      </c>
      <c r="K444" s="7" t="s">
        <v>1014</v>
      </c>
      <c r="L444" s="2" t="s">
        <v>24</v>
      </c>
      <c r="M444" s="2" t="s">
        <v>27</v>
      </c>
    </row>
    <row r="445" spans="1:13" x14ac:dyDescent="0.35">
      <c r="A445" s="2">
        <v>10257</v>
      </c>
      <c r="B445" s="2" t="s">
        <v>869</v>
      </c>
      <c r="C445" s="2" t="s">
        <v>298</v>
      </c>
      <c r="D445" s="2" t="s">
        <v>82</v>
      </c>
      <c r="E445" s="2" t="s">
        <v>29</v>
      </c>
      <c r="F445" s="2" t="s">
        <v>64</v>
      </c>
      <c r="G445" s="2">
        <v>4</v>
      </c>
      <c r="H445" s="9">
        <v>150000</v>
      </c>
      <c r="I445" s="9">
        <v>600000</v>
      </c>
      <c r="J445" s="21">
        <v>45766</v>
      </c>
      <c r="K445" s="7" t="s">
        <v>1012</v>
      </c>
      <c r="L445" s="2" t="s">
        <v>36</v>
      </c>
      <c r="M445" s="2" t="s">
        <v>27</v>
      </c>
    </row>
    <row r="446" spans="1:13" x14ac:dyDescent="0.35">
      <c r="A446" s="2">
        <v>10317</v>
      </c>
      <c r="B446" s="2" t="s">
        <v>529</v>
      </c>
      <c r="C446" s="2" t="s">
        <v>870</v>
      </c>
      <c r="D446" s="2" t="s">
        <v>82</v>
      </c>
      <c r="E446" s="2" t="s">
        <v>34</v>
      </c>
      <c r="F446" s="2" t="s">
        <v>77</v>
      </c>
      <c r="G446" s="2">
        <v>1</v>
      </c>
      <c r="H446" s="9">
        <v>50000</v>
      </c>
      <c r="I446" s="9">
        <v>50000</v>
      </c>
      <c r="J446" s="21">
        <v>45871</v>
      </c>
      <c r="K446" s="7" t="s">
        <v>1008</v>
      </c>
      <c r="L446" s="2" t="s">
        <v>13</v>
      </c>
      <c r="M446" s="2" t="s">
        <v>31</v>
      </c>
    </row>
    <row r="447" spans="1:13" x14ac:dyDescent="0.35">
      <c r="A447" s="2">
        <v>10312</v>
      </c>
      <c r="B447" s="2" t="s">
        <v>80</v>
      </c>
      <c r="C447" s="2" t="s">
        <v>871</v>
      </c>
      <c r="D447" s="2" t="s">
        <v>66</v>
      </c>
      <c r="E447" s="2" t="s">
        <v>15</v>
      </c>
      <c r="F447" s="2" t="s">
        <v>55</v>
      </c>
      <c r="G447" s="2">
        <v>1</v>
      </c>
      <c r="H447" s="9">
        <v>99000</v>
      </c>
      <c r="I447" s="9">
        <v>99000</v>
      </c>
      <c r="J447" s="21">
        <v>45929</v>
      </c>
      <c r="K447" s="7" t="s">
        <v>1015</v>
      </c>
      <c r="L447" s="2" t="s">
        <v>40</v>
      </c>
      <c r="M447" s="2" t="s">
        <v>20</v>
      </c>
    </row>
    <row r="448" spans="1:13" x14ac:dyDescent="0.35">
      <c r="A448" s="2">
        <v>10070</v>
      </c>
      <c r="B448" s="2" t="s">
        <v>872</v>
      </c>
      <c r="C448" s="2" t="s">
        <v>299</v>
      </c>
      <c r="D448" s="2" t="s">
        <v>86</v>
      </c>
      <c r="E448" s="2" t="s">
        <v>18</v>
      </c>
      <c r="F448" s="2" t="s">
        <v>19</v>
      </c>
      <c r="G448" s="2">
        <v>6</v>
      </c>
      <c r="H448" s="9">
        <v>25000</v>
      </c>
      <c r="I448" s="9">
        <v>150000</v>
      </c>
      <c r="J448" s="21">
        <v>45956</v>
      </c>
      <c r="K448" s="7" t="s">
        <v>1014</v>
      </c>
      <c r="L448" s="2" t="s">
        <v>36</v>
      </c>
      <c r="M448" s="2" t="s">
        <v>25</v>
      </c>
    </row>
    <row r="449" spans="1:13" x14ac:dyDescent="0.35">
      <c r="A449" s="2">
        <v>10316</v>
      </c>
      <c r="B449" s="2" t="s">
        <v>873</v>
      </c>
      <c r="C449" s="2" t="s">
        <v>300</v>
      </c>
      <c r="D449" s="2" t="s">
        <v>63</v>
      </c>
      <c r="E449" s="2" t="s">
        <v>29</v>
      </c>
      <c r="F449" s="2" t="s">
        <v>30</v>
      </c>
      <c r="G449" s="2">
        <v>9</v>
      </c>
      <c r="H449" s="9">
        <v>250000</v>
      </c>
      <c r="I449" s="9">
        <v>2250000</v>
      </c>
      <c r="J449" s="21">
        <v>45930</v>
      </c>
      <c r="K449" s="7" t="s">
        <v>1015</v>
      </c>
      <c r="L449" s="2" t="s">
        <v>17</v>
      </c>
      <c r="M449" s="2" t="s">
        <v>20</v>
      </c>
    </row>
    <row r="450" spans="1:13" x14ac:dyDescent="0.35">
      <c r="A450" s="2">
        <v>10014</v>
      </c>
      <c r="B450" s="2" t="s">
        <v>874</v>
      </c>
      <c r="C450" s="2" t="s">
        <v>301</v>
      </c>
      <c r="D450" s="2" t="s">
        <v>86</v>
      </c>
      <c r="E450" s="2" t="s">
        <v>11</v>
      </c>
      <c r="F450" s="2" t="s">
        <v>12</v>
      </c>
      <c r="G450" s="2">
        <v>4</v>
      </c>
      <c r="H450" s="9">
        <v>75000</v>
      </c>
      <c r="I450" s="9">
        <v>300000</v>
      </c>
      <c r="J450" s="21">
        <v>45803</v>
      </c>
      <c r="K450" s="7" t="s">
        <v>1006</v>
      </c>
      <c r="L450" s="2" t="s">
        <v>36</v>
      </c>
      <c r="M450" s="2" t="s">
        <v>20</v>
      </c>
    </row>
    <row r="451" spans="1:13" x14ac:dyDescent="0.35">
      <c r="A451" s="2">
        <v>10514</v>
      </c>
      <c r="B451" s="2" t="s">
        <v>875</v>
      </c>
      <c r="C451" s="2" t="s">
        <v>876</v>
      </c>
      <c r="D451" s="2" t="s">
        <v>82</v>
      </c>
      <c r="E451" s="2" t="s">
        <v>15</v>
      </c>
      <c r="F451" s="2" t="s">
        <v>73</v>
      </c>
      <c r="G451" s="2">
        <v>6</v>
      </c>
      <c r="H451" s="9">
        <v>120000</v>
      </c>
      <c r="I451" s="9">
        <v>720000</v>
      </c>
      <c r="J451" s="21">
        <v>45773</v>
      </c>
      <c r="K451" s="7" t="s">
        <v>1012</v>
      </c>
      <c r="L451" s="2" t="s">
        <v>24</v>
      </c>
      <c r="M451" s="2" t="s">
        <v>25</v>
      </c>
    </row>
    <row r="452" spans="1:13" x14ac:dyDescent="0.35">
      <c r="A452" s="2">
        <v>10210</v>
      </c>
      <c r="B452" s="2" t="s">
        <v>877</v>
      </c>
      <c r="C452" s="2" t="s">
        <v>436</v>
      </c>
      <c r="D452" s="2" t="s">
        <v>59</v>
      </c>
      <c r="E452" s="2" t="s">
        <v>34</v>
      </c>
      <c r="F452" s="2" t="s">
        <v>47</v>
      </c>
      <c r="G452" s="2">
        <v>4</v>
      </c>
      <c r="H452" s="9">
        <v>25000</v>
      </c>
      <c r="I452" s="9">
        <v>100000</v>
      </c>
      <c r="J452" s="21">
        <v>45793</v>
      </c>
      <c r="K452" s="7" t="s">
        <v>1006</v>
      </c>
      <c r="L452" s="2" t="s">
        <v>17</v>
      </c>
      <c r="M452" s="2" t="s">
        <v>31</v>
      </c>
    </row>
    <row r="453" spans="1:13" x14ac:dyDescent="0.35">
      <c r="A453" s="2">
        <v>10483</v>
      </c>
      <c r="B453" s="2" t="s">
        <v>466</v>
      </c>
      <c r="C453" s="2" t="s">
        <v>302</v>
      </c>
      <c r="D453" s="2" t="s">
        <v>46</v>
      </c>
      <c r="E453" s="2" t="s">
        <v>34</v>
      </c>
      <c r="F453" s="2" t="s">
        <v>47</v>
      </c>
      <c r="G453" s="2">
        <v>3</v>
      </c>
      <c r="H453" s="9">
        <v>150000</v>
      </c>
      <c r="I453" s="9">
        <v>450000</v>
      </c>
      <c r="J453" s="21">
        <v>45819</v>
      </c>
      <c r="K453" s="7" t="s">
        <v>1007</v>
      </c>
      <c r="L453" s="2" t="s">
        <v>24</v>
      </c>
      <c r="M453" s="2" t="s">
        <v>20</v>
      </c>
    </row>
    <row r="454" spans="1:13" x14ac:dyDescent="0.35">
      <c r="A454" s="2">
        <v>10214</v>
      </c>
      <c r="B454" s="2" t="s">
        <v>303</v>
      </c>
      <c r="C454" s="2" t="s">
        <v>878</v>
      </c>
      <c r="D454" s="2" t="s">
        <v>148</v>
      </c>
      <c r="E454" s="2" t="s">
        <v>34</v>
      </c>
      <c r="F454" s="2" t="s">
        <v>77</v>
      </c>
      <c r="G454" s="2">
        <v>7</v>
      </c>
      <c r="H454" s="9">
        <v>199000</v>
      </c>
      <c r="I454" s="9">
        <v>1393000</v>
      </c>
      <c r="J454" s="21">
        <v>45946</v>
      </c>
      <c r="K454" s="7" t="s">
        <v>1014</v>
      </c>
      <c r="L454" s="2" t="s">
        <v>24</v>
      </c>
      <c r="M454" s="2" t="s">
        <v>25</v>
      </c>
    </row>
    <row r="455" spans="1:13" x14ac:dyDescent="0.35">
      <c r="A455" s="2">
        <v>10297</v>
      </c>
      <c r="B455" s="2" t="s">
        <v>355</v>
      </c>
      <c r="C455" s="2" t="s">
        <v>879</v>
      </c>
      <c r="D455" s="2" t="s">
        <v>33</v>
      </c>
      <c r="E455" s="2" t="s">
        <v>29</v>
      </c>
      <c r="F455" s="2" t="s">
        <v>81</v>
      </c>
      <c r="G455" s="2">
        <v>10</v>
      </c>
      <c r="H455" s="9">
        <v>35000</v>
      </c>
      <c r="I455" s="9">
        <v>350000</v>
      </c>
      <c r="J455" s="21">
        <v>45850</v>
      </c>
      <c r="K455" s="7" t="s">
        <v>1013</v>
      </c>
      <c r="L455" s="2" t="s">
        <v>13</v>
      </c>
      <c r="M455" s="2" t="s">
        <v>31</v>
      </c>
    </row>
    <row r="456" spans="1:13" x14ac:dyDescent="0.35">
      <c r="A456" s="2">
        <v>10464</v>
      </c>
      <c r="B456" s="2" t="s">
        <v>455</v>
      </c>
      <c r="C456" s="2" t="s">
        <v>880</v>
      </c>
      <c r="D456" s="2" t="s">
        <v>117</v>
      </c>
      <c r="E456" s="2" t="s">
        <v>11</v>
      </c>
      <c r="F456" s="2" t="s">
        <v>50</v>
      </c>
      <c r="G456" s="2">
        <v>4</v>
      </c>
      <c r="H456" s="9">
        <v>75000</v>
      </c>
      <c r="I456" s="9">
        <v>300000</v>
      </c>
      <c r="J456" s="21">
        <v>45846</v>
      </c>
      <c r="K456" s="7" t="s">
        <v>1013</v>
      </c>
      <c r="L456" s="2" t="s">
        <v>40</v>
      </c>
      <c r="M456" s="2" t="s">
        <v>14</v>
      </c>
    </row>
    <row r="457" spans="1:13" x14ac:dyDescent="0.35">
      <c r="A457" s="2">
        <v>10349</v>
      </c>
      <c r="B457" s="2" t="s">
        <v>881</v>
      </c>
      <c r="C457" s="2" t="s">
        <v>882</v>
      </c>
      <c r="D457" s="2" t="s">
        <v>82</v>
      </c>
      <c r="E457" s="2" t="s">
        <v>11</v>
      </c>
      <c r="F457" s="2" t="s">
        <v>61</v>
      </c>
      <c r="G457" s="2">
        <v>1</v>
      </c>
      <c r="H457" s="9">
        <v>250000</v>
      </c>
      <c r="I457" s="9">
        <v>250000</v>
      </c>
      <c r="J457" s="21">
        <v>45968</v>
      </c>
      <c r="K457" s="7" t="s">
        <v>1009</v>
      </c>
      <c r="L457" s="2" t="s">
        <v>24</v>
      </c>
      <c r="M457" s="2" t="s">
        <v>14</v>
      </c>
    </row>
    <row r="458" spans="1:13" x14ac:dyDescent="0.35">
      <c r="A458" s="2">
        <v>10088</v>
      </c>
      <c r="B458" s="2" t="s">
        <v>883</v>
      </c>
      <c r="C458" s="2" t="s">
        <v>436</v>
      </c>
      <c r="D458" s="2" t="s">
        <v>63</v>
      </c>
      <c r="E458" s="2" t="s">
        <v>11</v>
      </c>
      <c r="F458" s="2" t="s">
        <v>71</v>
      </c>
      <c r="G458" s="2">
        <v>4</v>
      </c>
      <c r="H458" s="9">
        <v>250000</v>
      </c>
      <c r="I458" s="9">
        <v>1000000</v>
      </c>
      <c r="J458" s="21">
        <v>45865</v>
      </c>
      <c r="K458" s="7" t="s">
        <v>1013</v>
      </c>
      <c r="L458" s="2" t="s">
        <v>17</v>
      </c>
      <c r="M458" s="2" t="s">
        <v>20</v>
      </c>
    </row>
    <row r="459" spans="1:13" x14ac:dyDescent="0.35">
      <c r="A459" s="2">
        <v>10335</v>
      </c>
      <c r="B459" s="2" t="s">
        <v>304</v>
      </c>
      <c r="C459" s="2" t="s">
        <v>884</v>
      </c>
      <c r="D459" s="2" t="s">
        <v>148</v>
      </c>
      <c r="E459" s="2" t="s">
        <v>15</v>
      </c>
      <c r="F459" s="2" t="s">
        <v>55</v>
      </c>
      <c r="G459" s="2">
        <v>2</v>
      </c>
      <c r="H459" s="9">
        <v>35000</v>
      </c>
      <c r="I459" s="9">
        <v>70000</v>
      </c>
      <c r="J459" s="21">
        <v>45691</v>
      </c>
      <c r="K459" s="7" t="s">
        <v>1011</v>
      </c>
      <c r="L459" s="2" t="s">
        <v>17</v>
      </c>
      <c r="M459" s="2" t="s">
        <v>31</v>
      </c>
    </row>
    <row r="460" spans="1:13" x14ac:dyDescent="0.35">
      <c r="A460" s="2">
        <v>10508</v>
      </c>
      <c r="B460" s="2" t="s">
        <v>305</v>
      </c>
      <c r="C460" s="2" t="s">
        <v>306</v>
      </c>
      <c r="D460" s="2" t="s">
        <v>66</v>
      </c>
      <c r="E460" s="2" t="s">
        <v>29</v>
      </c>
      <c r="F460" s="2" t="s">
        <v>64</v>
      </c>
      <c r="G460" s="2">
        <v>4</v>
      </c>
      <c r="H460" s="9">
        <v>120000</v>
      </c>
      <c r="I460" s="9">
        <v>480000</v>
      </c>
      <c r="J460" s="21">
        <v>45948</v>
      </c>
      <c r="K460" s="7" t="s">
        <v>1014</v>
      </c>
      <c r="L460" s="2" t="s">
        <v>17</v>
      </c>
      <c r="M460" s="2" t="s">
        <v>31</v>
      </c>
    </row>
    <row r="461" spans="1:13" x14ac:dyDescent="0.35">
      <c r="A461" s="2">
        <v>10390</v>
      </c>
      <c r="B461" s="2" t="s">
        <v>885</v>
      </c>
      <c r="C461" s="2" t="s">
        <v>307</v>
      </c>
      <c r="D461" s="2" t="s">
        <v>59</v>
      </c>
      <c r="E461" s="2" t="s">
        <v>34</v>
      </c>
      <c r="F461" s="2" t="s">
        <v>77</v>
      </c>
      <c r="G461" s="2">
        <v>9</v>
      </c>
      <c r="H461" s="9">
        <v>50000</v>
      </c>
      <c r="I461" s="9">
        <v>450000</v>
      </c>
      <c r="J461" s="21">
        <v>45681</v>
      </c>
      <c r="K461" s="7" t="s">
        <v>1005</v>
      </c>
      <c r="L461" s="2" t="s">
        <v>36</v>
      </c>
      <c r="M461" s="2" t="s">
        <v>27</v>
      </c>
    </row>
    <row r="462" spans="1:13" x14ac:dyDescent="0.35">
      <c r="A462" s="2">
        <v>10171</v>
      </c>
      <c r="B462" s="2" t="s">
        <v>886</v>
      </c>
      <c r="C462" s="2" t="s">
        <v>887</v>
      </c>
      <c r="D462" s="2" t="s">
        <v>23</v>
      </c>
      <c r="E462" s="2" t="s">
        <v>29</v>
      </c>
      <c r="F462" s="2" t="s">
        <v>67</v>
      </c>
      <c r="G462" s="2">
        <v>1</v>
      </c>
      <c r="H462" s="9">
        <v>120000</v>
      </c>
      <c r="I462" s="9">
        <v>120000</v>
      </c>
      <c r="J462" s="21">
        <v>45683</v>
      </c>
      <c r="K462" s="7" t="s">
        <v>1005</v>
      </c>
      <c r="L462" s="2" t="s">
        <v>17</v>
      </c>
      <c r="M462" s="2" t="s">
        <v>31</v>
      </c>
    </row>
    <row r="463" spans="1:13" x14ac:dyDescent="0.35">
      <c r="A463" s="2">
        <v>10594</v>
      </c>
      <c r="B463" s="2" t="s">
        <v>817</v>
      </c>
      <c r="C463" s="2" t="s">
        <v>308</v>
      </c>
      <c r="D463" s="2" t="s">
        <v>63</v>
      </c>
      <c r="E463" s="2" t="s">
        <v>15</v>
      </c>
      <c r="F463" s="2" t="s">
        <v>49</v>
      </c>
      <c r="G463" s="2">
        <v>5</v>
      </c>
      <c r="H463" s="9">
        <v>199000</v>
      </c>
      <c r="I463" s="9">
        <v>995000</v>
      </c>
      <c r="J463" s="21">
        <v>45863</v>
      </c>
      <c r="K463" s="7" t="s">
        <v>1013</v>
      </c>
      <c r="L463" s="2" t="s">
        <v>13</v>
      </c>
      <c r="M463" s="2" t="s">
        <v>14</v>
      </c>
    </row>
    <row r="464" spans="1:13" x14ac:dyDescent="0.35">
      <c r="A464" s="2">
        <v>10272</v>
      </c>
      <c r="B464" s="2" t="s">
        <v>888</v>
      </c>
      <c r="C464" s="2" t="s">
        <v>309</v>
      </c>
      <c r="D464" s="2" t="s">
        <v>46</v>
      </c>
      <c r="E464" s="2" t="s">
        <v>11</v>
      </c>
      <c r="F464" s="2" t="s">
        <v>39</v>
      </c>
      <c r="G464" s="2">
        <v>10</v>
      </c>
      <c r="H464" s="9">
        <v>199000</v>
      </c>
      <c r="I464" s="9">
        <v>1990000</v>
      </c>
      <c r="J464" s="21">
        <v>45664</v>
      </c>
      <c r="K464" s="7" t="s">
        <v>1005</v>
      </c>
      <c r="L464" s="2" t="s">
        <v>36</v>
      </c>
      <c r="M464" s="2" t="s">
        <v>27</v>
      </c>
    </row>
    <row r="465" spans="1:13" x14ac:dyDescent="0.35">
      <c r="A465" s="2">
        <v>10001</v>
      </c>
      <c r="B465" s="2" t="s">
        <v>120</v>
      </c>
      <c r="C465" s="2" t="s">
        <v>310</v>
      </c>
      <c r="D465" s="2" t="s">
        <v>86</v>
      </c>
      <c r="E465" s="2" t="s">
        <v>34</v>
      </c>
      <c r="F465" s="2" t="s">
        <v>47</v>
      </c>
      <c r="G465" s="2">
        <v>6</v>
      </c>
      <c r="H465" s="9">
        <v>50000</v>
      </c>
      <c r="I465" s="9">
        <v>300000</v>
      </c>
      <c r="J465" s="21">
        <v>45737</v>
      </c>
      <c r="K465" s="7" t="s">
        <v>1016</v>
      </c>
      <c r="L465" s="2" t="s">
        <v>36</v>
      </c>
      <c r="M465" s="2" t="s">
        <v>25</v>
      </c>
    </row>
    <row r="466" spans="1:13" x14ac:dyDescent="0.35">
      <c r="A466" s="2">
        <v>10147</v>
      </c>
      <c r="B466" s="2" t="s">
        <v>889</v>
      </c>
      <c r="C466" s="2" t="s">
        <v>890</v>
      </c>
      <c r="D466" s="2" t="s">
        <v>66</v>
      </c>
      <c r="E466" s="2" t="s">
        <v>15</v>
      </c>
      <c r="F466" s="2" t="s">
        <v>42</v>
      </c>
      <c r="G466" s="2">
        <v>6</v>
      </c>
      <c r="H466" s="9">
        <v>45000</v>
      </c>
      <c r="I466" s="9">
        <v>270000</v>
      </c>
      <c r="J466" s="21">
        <v>45696</v>
      </c>
      <c r="K466" s="7" t="s">
        <v>1011</v>
      </c>
      <c r="L466" s="2" t="s">
        <v>17</v>
      </c>
      <c r="M466" s="2" t="s">
        <v>25</v>
      </c>
    </row>
    <row r="467" spans="1:13" x14ac:dyDescent="0.35">
      <c r="A467" s="2">
        <v>10204</v>
      </c>
      <c r="B467" s="2" t="s">
        <v>563</v>
      </c>
      <c r="C467" s="2" t="s">
        <v>891</v>
      </c>
      <c r="D467" s="2" t="s">
        <v>59</v>
      </c>
      <c r="E467" s="2" t="s">
        <v>18</v>
      </c>
      <c r="F467" s="2" t="s">
        <v>26</v>
      </c>
      <c r="G467" s="2">
        <v>3</v>
      </c>
      <c r="H467" s="9">
        <v>25000</v>
      </c>
      <c r="I467" s="9">
        <v>75000</v>
      </c>
      <c r="J467" s="21">
        <v>45679</v>
      </c>
      <c r="K467" s="7" t="s">
        <v>1005</v>
      </c>
      <c r="L467" s="2" t="s">
        <v>24</v>
      </c>
      <c r="M467" s="2" t="s">
        <v>27</v>
      </c>
    </row>
    <row r="468" spans="1:13" x14ac:dyDescent="0.35">
      <c r="A468" s="2">
        <v>10090</v>
      </c>
      <c r="B468" s="2" t="s">
        <v>311</v>
      </c>
      <c r="C468" s="2" t="s">
        <v>312</v>
      </c>
      <c r="D468" s="2" t="s">
        <v>66</v>
      </c>
      <c r="E468" s="2" t="s">
        <v>15</v>
      </c>
      <c r="F468" s="2" t="s">
        <v>55</v>
      </c>
      <c r="G468" s="2">
        <v>7</v>
      </c>
      <c r="H468" s="9">
        <v>45000</v>
      </c>
      <c r="I468" s="9">
        <v>315000</v>
      </c>
      <c r="J468" s="21">
        <v>45739</v>
      </c>
      <c r="K468" s="7" t="s">
        <v>1016</v>
      </c>
      <c r="L468" s="2" t="s">
        <v>17</v>
      </c>
      <c r="M468" s="2" t="s">
        <v>27</v>
      </c>
    </row>
    <row r="469" spans="1:13" x14ac:dyDescent="0.35">
      <c r="A469" s="2">
        <v>10557</v>
      </c>
      <c r="B469" s="2" t="s">
        <v>704</v>
      </c>
      <c r="C469" s="2" t="s">
        <v>892</v>
      </c>
      <c r="D469" s="2" t="s">
        <v>59</v>
      </c>
      <c r="E469" s="2" t="s">
        <v>29</v>
      </c>
      <c r="F469" s="2" t="s">
        <v>30</v>
      </c>
      <c r="G469" s="2">
        <v>7</v>
      </c>
      <c r="H469" s="9">
        <v>150000</v>
      </c>
      <c r="I469" s="9">
        <v>1050000</v>
      </c>
      <c r="J469" s="21">
        <v>45733</v>
      </c>
      <c r="K469" s="7" t="s">
        <v>1016</v>
      </c>
      <c r="L469" s="2" t="s">
        <v>13</v>
      </c>
      <c r="M469" s="2" t="s">
        <v>20</v>
      </c>
    </row>
    <row r="470" spans="1:13" x14ac:dyDescent="0.35">
      <c r="A470" s="2">
        <v>10512</v>
      </c>
      <c r="B470" s="2" t="s">
        <v>893</v>
      </c>
      <c r="C470" s="2" t="s">
        <v>313</v>
      </c>
      <c r="D470" s="2" t="s">
        <v>33</v>
      </c>
      <c r="E470" s="2" t="s">
        <v>18</v>
      </c>
      <c r="F470" s="2" t="s">
        <v>57</v>
      </c>
      <c r="G470" s="2">
        <v>1</v>
      </c>
      <c r="H470" s="9">
        <v>45000</v>
      </c>
      <c r="I470" s="9">
        <v>45000</v>
      </c>
      <c r="J470" s="21">
        <v>45682</v>
      </c>
      <c r="K470" s="7" t="s">
        <v>1005</v>
      </c>
      <c r="L470" s="2" t="s">
        <v>24</v>
      </c>
      <c r="M470" s="2" t="s">
        <v>31</v>
      </c>
    </row>
    <row r="471" spans="1:13" x14ac:dyDescent="0.35">
      <c r="A471" s="2">
        <v>10566</v>
      </c>
      <c r="B471" s="2" t="s">
        <v>603</v>
      </c>
      <c r="C471" s="2" t="s">
        <v>314</v>
      </c>
      <c r="D471" s="2" t="s">
        <v>117</v>
      </c>
      <c r="E471" s="2" t="s">
        <v>18</v>
      </c>
      <c r="F471" s="2" t="s">
        <v>19</v>
      </c>
      <c r="G471" s="2">
        <v>6</v>
      </c>
      <c r="H471" s="9">
        <v>120000</v>
      </c>
      <c r="I471" s="9">
        <v>720000</v>
      </c>
      <c r="J471" s="21">
        <v>45929</v>
      </c>
      <c r="K471" s="7" t="s">
        <v>1015</v>
      </c>
      <c r="L471" s="2" t="s">
        <v>36</v>
      </c>
      <c r="M471" s="2" t="s">
        <v>25</v>
      </c>
    </row>
    <row r="472" spans="1:13" x14ac:dyDescent="0.35">
      <c r="A472" s="2">
        <v>10422</v>
      </c>
      <c r="B472" s="2" t="s">
        <v>874</v>
      </c>
      <c r="C472" s="2" t="s">
        <v>894</v>
      </c>
      <c r="D472" s="2" t="s">
        <v>23</v>
      </c>
      <c r="E472" s="2" t="s">
        <v>15</v>
      </c>
      <c r="F472" s="2" t="s">
        <v>49</v>
      </c>
      <c r="G472" s="2">
        <v>2</v>
      </c>
      <c r="H472" s="9">
        <v>45000</v>
      </c>
      <c r="I472" s="9">
        <v>90000</v>
      </c>
      <c r="J472" s="21">
        <v>45767</v>
      </c>
      <c r="K472" s="7" t="s">
        <v>1012</v>
      </c>
      <c r="L472" s="2" t="s">
        <v>24</v>
      </c>
      <c r="M472" s="2" t="s">
        <v>25</v>
      </c>
    </row>
    <row r="473" spans="1:13" x14ac:dyDescent="0.35">
      <c r="A473" s="2">
        <v>10146</v>
      </c>
      <c r="B473" s="2" t="s">
        <v>315</v>
      </c>
      <c r="C473" s="2" t="s">
        <v>436</v>
      </c>
      <c r="D473" s="2" t="s">
        <v>46</v>
      </c>
      <c r="E473" s="2" t="s">
        <v>29</v>
      </c>
      <c r="F473" s="2" t="s">
        <v>67</v>
      </c>
      <c r="G473" s="2">
        <v>9</v>
      </c>
      <c r="H473" s="9">
        <v>15000</v>
      </c>
      <c r="I473" s="9">
        <v>135000</v>
      </c>
      <c r="J473" s="21">
        <v>45680</v>
      </c>
      <c r="K473" s="7" t="s">
        <v>1005</v>
      </c>
      <c r="L473" s="2" t="s">
        <v>24</v>
      </c>
      <c r="M473" s="2" t="s">
        <v>31</v>
      </c>
    </row>
    <row r="474" spans="1:13" x14ac:dyDescent="0.35">
      <c r="A474" s="2">
        <v>10237</v>
      </c>
      <c r="B474" s="2" t="s">
        <v>881</v>
      </c>
      <c r="C474" s="2" t="s">
        <v>316</v>
      </c>
      <c r="D474" s="2" t="s">
        <v>66</v>
      </c>
      <c r="E474" s="2" t="s">
        <v>18</v>
      </c>
      <c r="F474" s="2" t="s">
        <v>19</v>
      </c>
      <c r="G474" s="2">
        <v>6</v>
      </c>
      <c r="H474" s="9">
        <v>50000</v>
      </c>
      <c r="I474" s="9">
        <v>300000</v>
      </c>
      <c r="J474" s="21">
        <v>45898</v>
      </c>
      <c r="K474" s="7" t="s">
        <v>1008</v>
      </c>
      <c r="L474" s="2" t="s">
        <v>13</v>
      </c>
      <c r="M474" s="2" t="s">
        <v>14</v>
      </c>
    </row>
    <row r="475" spans="1:13" x14ac:dyDescent="0.35">
      <c r="A475" s="2">
        <v>10533</v>
      </c>
      <c r="B475" s="2" t="s">
        <v>317</v>
      </c>
      <c r="C475" s="2" t="s">
        <v>895</v>
      </c>
      <c r="D475" s="2" t="s">
        <v>82</v>
      </c>
      <c r="E475" s="2" t="s">
        <v>15</v>
      </c>
      <c r="F475" s="2" t="s">
        <v>42</v>
      </c>
      <c r="G475" s="2">
        <v>1</v>
      </c>
      <c r="H475" s="9">
        <v>50000</v>
      </c>
      <c r="I475" s="9">
        <v>50000</v>
      </c>
      <c r="J475" s="21">
        <v>45892</v>
      </c>
      <c r="K475" s="7" t="s">
        <v>1008</v>
      </c>
      <c r="L475" s="2" t="s">
        <v>24</v>
      </c>
      <c r="M475" s="2" t="s">
        <v>27</v>
      </c>
    </row>
    <row r="476" spans="1:13" x14ac:dyDescent="0.35">
      <c r="A476" s="2">
        <v>10253</v>
      </c>
      <c r="B476" s="2" t="s">
        <v>896</v>
      </c>
      <c r="C476" s="2" t="s">
        <v>318</v>
      </c>
      <c r="D476" s="2" t="s">
        <v>117</v>
      </c>
      <c r="E476" s="2" t="s">
        <v>29</v>
      </c>
      <c r="F476" s="2" t="s">
        <v>67</v>
      </c>
      <c r="G476" s="2">
        <v>10</v>
      </c>
      <c r="H476" s="9">
        <v>15000</v>
      </c>
      <c r="I476" s="9">
        <v>150000</v>
      </c>
      <c r="J476" s="21">
        <v>45982</v>
      </c>
      <c r="K476" s="7" t="s">
        <v>1009</v>
      </c>
      <c r="L476" s="2" t="s">
        <v>40</v>
      </c>
      <c r="M476" s="2" t="s">
        <v>14</v>
      </c>
    </row>
    <row r="477" spans="1:13" x14ac:dyDescent="0.35">
      <c r="A477" s="2">
        <v>10413</v>
      </c>
      <c r="B477" s="2" t="s">
        <v>451</v>
      </c>
      <c r="C477" s="2" t="s">
        <v>319</v>
      </c>
      <c r="D477" s="2" t="s">
        <v>33</v>
      </c>
      <c r="E477" s="2" t="s">
        <v>15</v>
      </c>
      <c r="F477" s="2" t="s">
        <v>42</v>
      </c>
      <c r="G477" s="2">
        <v>8</v>
      </c>
      <c r="H477" s="9">
        <v>25000</v>
      </c>
      <c r="I477" s="9">
        <v>200000</v>
      </c>
      <c r="J477" s="21">
        <v>45826</v>
      </c>
      <c r="K477" s="7" t="s">
        <v>1007</v>
      </c>
      <c r="L477" s="2" t="s">
        <v>13</v>
      </c>
      <c r="M477" s="2" t="s">
        <v>20</v>
      </c>
    </row>
    <row r="478" spans="1:13" x14ac:dyDescent="0.35">
      <c r="A478" s="2">
        <v>10586</v>
      </c>
      <c r="B478" s="2" t="s">
        <v>145</v>
      </c>
      <c r="C478" s="2" t="s">
        <v>320</v>
      </c>
      <c r="D478" s="2" t="s">
        <v>33</v>
      </c>
      <c r="E478" s="2" t="s">
        <v>11</v>
      </c>
      <c r="F478" s="2" t="s">
        <v>12</v>
      </c>
      <c r="G478" s="2">
        <v>10</v>
      </c>
      <c r="H478" s="9">
        <v>35000</v>
      </c>
      <c r="I478" s="9">
        <v>350000</v>
      </c>
      <c r="J478" s="21">
        <v>46019</v>
      </c>
      <c r="K478" s="7" t="s">
        <v>1010</v>
      </c>
      <c r="L478" s="2" t="s">
        <v>36</v>
      </c>
      <c r="M478" s="2" t="s">
        <v>31</v>
      </c>
    </row>
    <row r="479" spans="1:13" x14ac:dyDescent="0.35">
      <c r="A479" s="2">
        <v>10401</v>
      </c>
      <c r="B479" s="2" t="s">
        <v>593</v>
      </c>
      <c r="C479" s="2" t="s">
        <v>897</v>
      </c>
      <c r="D479" s="2" t="s">
        <v>59</v>
      </c>
      <c r="E479" s="2" t="s">
        <v>18</v>
      </c>
      <c r="F479" s="2" t="s">
        <v>26</v>
      </c>
      <c r="G479" s="2">
        <v>3</v>
      </c>
      <c r="H479" s="9">
        <v>15000</v>
      </c>
      <c r="I479" s="9">
        <v>45000</v>
      </c>
      <c r="J479" s="21">
        <v>45779</v>
      </c>
      <c r="K479" s="7" t="s">
        <v>1006</v>
      </c>
      <c r="L479" s="2" t="s">
        <v>13</v>
      </c>
      <c r="M479" s="2" t="s">
        <v>27</v>
      </c>
    </row>
    <row r="480" spans="1:13" x14ac:dyDescent="0.35">
      <c r="A480" s="2">
        <v>10589</v>
      </c>
      <c r="B480" s="2" t="s">
        <v>321</v>
      </c>
      <c r="C480" s="2" t="s">
        <v>322</v>
      </c>
      <c r="D480" s="2" t="s">
        <v>33</v>
      </c>
      <c r="E480" s="2" t="s">
        <v>34</v>
      </c>
      <c r="F480" s="2" t="s">
        <v>35</v>
      </c>
      <c r="G480" s="2">
        <v>3</v>
      </c>
      <c r="H480" s="9">
        <v>75000</v>
      </c>
      <c r="I480" s="9">
        <v>225000</v>
      </c>
      <c r="J480" s="21">
        <v>45960</v>
      </c>
      <c r="K480" s="7" t="s">
        <v>1014</v>
      </c>
      <c r="L480" s="2" t="s">
        <v>24</v>
      </c>
      <c r="M480" s="2" t="s">
        <v>31</v>
      </c>
    </row>
    <row r="481" spans="1:13" x14ac:dyDescent="0.35">
      <c r="A481" s="2">
        <v>10108</v>
      </c>
      <c r="B481" s="2" t="s">
        <v>898</v>
      </c>
      <c r="C481" s="2" t="s">
        <v>899</v>
      </c>
      <c r="D481" s="2" t="s">
        <v>86</v>
      </c>
      <c r="E481" s="2" t="s">
        <v>18</v>
      </c>
      <c r="F481" s="2" t="s">
        <v>19</v>
      </c>
      <c r="G481" s="2">
        <v>7</v>
      </c>
      <c r="H481" s="9">
        <v>50000</v>
      </c>
      <c r="I481" s="9">
        <v>350000</v>
      </c>
      <c r="J481" s="21">
        <v>45798</v>
      </c>
      <c r="K481" s="7" t="s">
        <v>1006</v>
      </c>
      <c r="L481" s="2" t="s">
        <v>24</v>
      </c>
      <c r="M481" s="2" t="s">
        <v>27</v>
      </c>
    </row>
    <row r="482" spans="1:13" x14ac:dyDescent="0.35">
      <c r="A482" s="2">
        <v>10371</v>
      </c>
      <c r="B482" s="2" t="s">
        <v>900</v>
      </c>
      <c r="C482" s="2" t="s">
        <v>901</v>
      </c>
      <c r="D482" s="2" t="s">
        <v>33</v>
      </c>
      <c r="E482" s="2" t="s">
        <v>15</v>
      </c>
      <c r="F482" s="2" t="s">
        <v>42</v>
      </c>
      <c r="G482" s="2">
        <v>3</v>
      </c>
      <c r="H482" s="9">
        <v>45000</v>
      </c>
      <c r="I482" s="9">
        <v>135000</v>
      </c>
      <c r="J482" s="21">
        <v>45738</v>
      </c>
      <c r="K482" s="7" t="s">
        <v>1016</v>
      </c>
      <c r="L482" s="2" t="s">
        <v>13</v>
      </c>
      <c r="M482" s="2" t="s">
        <v>20</v>
      </c>
    </row>
    <row r="483" spans="1:13" x14ac:dyDescent="0.35">
      <c r="A483" s="2">
        <v>10570</v>
      </c>
      <c r="B483" s="2" t="s">
        <v>323</v>
      </c>
      <c r="C483" s="2" t="s">
        <v>902</v>
      </c>
      <c r="D483" s="2" t="s">
        <v>59</v>
      </c>
      <c r="E483" s="2" t="s">
        <v>18</v>
      </c>
      <c r="F483" s="2" t="s">
        <v>57</v>
      </c>
      <c r="G483" s="2">
        <v>1</v>
      </c>
      <c r="H483" s="9">
        <v>150000</v>
      </c>
      <c r="I483" s="9">
        <v>150000</v>
      </c>
      <c r="J483" s="21">
        <v>45765</v>
      </c>
      <c r="K483" s="7" t="s">
        <v>1012</v>
      </c>
      <c r="L483" s="2" t="s">
        <v>17</v>
      </c>
      <c r="M483" s="2" t="s">
        <v>27</v>
      </c>
    </row>
    <row r="484" spans="1:13" x14ac:dyDescent="0.35">
      <c r="A484" s="2">
        <v>10285</v>
      </c>
      <c r="B484" s="2" t="s">
        <v>903</v>
      </c>
      <c r="C484" s="2" t="s">
        <v>324</v>
      </c>
      <c r="D484" s="2" t="s">
        <v>59</v>
      </c>
      <c r="E484" s="2" t="s">
        <v>18</v>
      </c>
      <c r="F484" s="2" t="s">
        <v>70</v>
      </c>
      <c r="G484" s="2">
        <v>7</v>
      </c>
      <c r="H484" s="9">
        <v>75000</v>
      </c>
      <c r="I484" s="9">
        <v>525000</v>
      </c>
      <c r="J484" s="21">
        <v>45703</v>
      </c>
      <c r="K484" s="7" t="s">
        <v>1011</v>
      </c>
      <c r="L484" s="2" t="s">
        <v>13</v>
      </c>
      <c r="M484" s="2" t="s">
        <v>14</v>
      </c>
    </row>
    <row r="485" spans="1:13" x14ac:dyDescent="0.35">
      <c r="A485" s="2">
        <v>10428</v>
      </c>
      <c r="B485" s="2" t="s">
        <v>594</v>
      </c>
      <c r="C485" s="2" t="s">
        <v>904</v>
      </c>
      <c r="D485" s="2" t="s">
        <v>46</v>
      </c>
      <c r="E485" s="2" t="s">
        <v>15</v>
      </c>
      <c r="F485" s="2" t="s">
        <v>42</v>
      </c>
      <c r="G485" s="2">
        <v>8</v>
      </c>
      <c r="H485" s="9">
        <v>15000</v>
      </c>
      <c r="I485" s="9">
        <v>120000</v>
      </c>
      <c r="J485" s="21">
        <v>45853</v>
      </c>
      <c r="K485" s="7" t="s">
        <v>1013</v>
      </c>
      <c r="L485" s="2" t="s">
        <v>40</v>
      </c>
      <c r="M485" s="2" t="s">
        <v>14</v>
      </c>
    </row>
    <row r="486" spans="1:13" x14ac:dyDescent="0.35">
      <c r="A486" s="2">
        <v>10222</v>
      </c>
      <c r="B486" s="2" t="s">
        <v>215</v>
      </c>
      <c r="C486" s="2" t="s">
        <v>905</v>
      </c>
      <c r="D486" s="2" t="s">
        <v>66</v>
      </c>
      <c r="E486" s="2" t="s">
        <v>18</v>
      </c>
      <c r="F486" s="2" t="s">
        <v>70</v>
      </c>
      <c r="G486" s="2">
        <v>4</v>
      </c>
      <c r="H486" s="9">
        <v>15000</v>
      </c>
      <c r="I486" s="9">
        <v>60000</v>
      </c>
      <c r="J486" s="21">
        <v>45727</v>
      </c>
      <c r="K486" s="7" t="s">
        <v>1016</v>
      </c>
      <c r="L486" s="2" t="s">
        <v>13</v>
      </c>
      <c r="M486" s="2" t="s">
        <v>27</v>
      </c>
    </row>
    <row r="487" spans="1:13" x14ac:dyDescent="0.35">
      <c r="A487" s="2">
        <v>10418</v>
      </c>
      <c r="B487" s="2" t="s">
        <v>325</v>
      </c>
      <c r="C487" s="2" t="s">
        <v>436</v>
      </c>
      <c r="D487" s="2" t="s">
        <v>33</v>
      </c>
      <c r="E487" s="2" t="s">
        <v>15</v>
      </c>
      <c r="F487" s="2" t="s">
        <v>49</v>
      </c>
      <c r="G487" s="2">
        <v>6</v>
      </c>
      <c r="H487" s="9">
        <v>99000</v>
      </c>
      <c r="I487" s="9">
        <v>594000</v>
      </c>
      <c r="J487" s="21">
        <v>45934</v>
      </c>
      <c r="K487" s="7" t="s">
        <v>1014</v>
      </c>
      <c r="L487" s="2" t="s">
        <v>40</v>
      </c>
      <c r="M487" s="2" t="s">
        <v>14</v>
      </c>
    </row>
    <row r="488" spans="1:13" x14ac:dyDescent="0.35">
      <c r="A488" s="2">
        <v>10378</v>
      </c>
      <c r="B488" s="2" t="s">
        <v>239</v>
      </c>
      <c r="C488" s="2" t="s">
        <v>906</v>
      </c>
      <c r="D488" s="2" t="s">
        <v>86</v>
      </c>
      <c r="E488" s="2" t="s">
        <v>18</v>
      </c>
      <c r="F488" s="2" t="s">
        <v>70</v>
      </c>
      <c r="G488" s="2">
        <v>2</v>
      </c>
      <c r="H488" s="9">
        <v>15000</v>
      </c>
      <c r="I488" s="9">
        <v>30000</v>
      </c>
      <c r="J488" s="21">
        <v>45991</v>
      </c>
      <c r="K488" s="7" t="s">
        <v>1009</v>
      </c>
      <c r="L488" s="2" t="s">
        <v>24</v>
      </c>
      <c r="M488" s="2" t="s">
        <v>20</v>
      </c>
    </row>
    <row r="489" spans="1:13" x14ac:dyDescent="0.35">
      <c r="A489" s="2">
        <v>10162</v>
      </c>
      <c r="B489" s="2" t="s">
        <v>907</v>
      </c>
      <c r="C489" s="2" t="s">
        <v>326</v>
      </c>
      <c r="D489" s="2" t="s">
        <v>82</v>
      </c>
      <c r="E489" s="2" t="s">
        <v>29</v>
      </c>
      <c r="F489" s="2" t="s">
        <v>64</v>
      </c>
      <c r="G489" s="2">
        <v>1</v>
      </c>
      <c r="H489" s="9">
        <v>75000</v>
      </c>
      <c r="I489" s="9">
        <v>75000</v>
      </c>
      <c r="J489" s="21">
        <v>45791</v>
      </c>
      <c r="K489" s="7" t="s">
        <v>1006</v>
      </c>
      <c r="L489" s="2" t="s">
        <v>24</v>
      </c>
      <c r="M489" s="2" t="s">
        <v>14</v>
      </c>
    </row>
    <row r="490" spans="1:13" x14ac:dyDescent="0.35">
      <c r="A490" s="2">
        <v>10182</v>
      </c>
      <c r="B490" s="2" t="s">
        <v>521</v>
      </c>
      <c r="C490" s="2" t="s">
        <v>908</v>
      </c>
      <c r="D490" s="2" t="s">
        <v>66</v>
      </c>
      <c r="E490" s="2" t="s">
        <v>29</v>
      </c>
      <c r="F490" s="2" t="s">
        <v>81</v>
      </c>
      <c r="G490" s="2">
        <v>1</v>
      </c>
      <c r="H490" s="9">
        <v>25000</v>
      </c>
      <c r="I490" s="9">
        <v>25000</v>
      </c>
      <c r="J490" s="21">
        <v>45871</v>
      </c>
      <c r="K490" s="7" t="s">
        <v>1008</v>
      </c>
      <c r="L490" s="2" t="s">
        <v>40</v>
      </c>
      <c r="M490" s="2" t="s">
        <v>20</v>
      </c>
    </row>
    <row r="491" spans="1:13" x14ac:dyDescent="0.35">
      <c r="A491" s="2">
        <v>10296</v>
      </c>
      <c r="B491" s="2" t="s">
        <v>860</v>
      </c>
      <c r="C491" s="2" t="s">
        <v>436</v>
      </c>
      <c r="D491" s="2" t="s">
        <v>59</v>
      </c>
      <c r="E491" s="2" t="s">
        <v>11</v>
      </c>
      <c r="F491" s="2" t="s">
        <v>61</v>
      </c>
      <c r="G491" s="2">
        <v>4</v>
      </c>
      <c r="H491" s="9">
        <v>15000</v>
      </c>
      <c r="I491" s="9">
        <v>60000</v>
      </c>
      <c r="J491" s="21">
        <v>45670</v>
      </c>
      <c r="K491" s="7" t="s">
        <v>1005</v>
      </c>
      <c r="L491" s="2" t="s">
        <v>13</v>
      </c>
      <c r="M491" s="2" t="s">
        <v>14</v>
      </c>
    </row>
    <row r="492" spans="1:13" x14ac:dyDescent="0.35">
      <c r="A492" s="2">
        <v>10113</v>
      </c>
      <c r="B492" s="2" t="s">
        <v>327</v>
      </c>
      <c r="C492" s="2" t="s">
        <v>909</v>
      </c>
      <c r="D492" s="2" t="s">
        <v>86</v>
      </c>
      <c r="E492" s="2" t="s">
        <v>18</v>
      </c>
      <c r="F492" s="2" t="s">
        <v>26</v>
      </c>
      <c r="G492" s="2">
        <v>7</v>
      </c>
      <c r="H492" s="9">
        <v>50000</v>
      </c>
      <c r="I492" s="9">
        <v>350000</v>
      </c>
      <c r="J492" s="21">
        <v>45736</v>
      </c>
      <c r="K492" s="7" t="s">
        <v>1016</v>
      </c>
      <c r="L492" s="2" t="s">
        <v>36</v>
      </c>
      <c r="M492" s="2" t="s">
        <v>25</v>
      </c>
    </row>
    <row r="493" spans="1:13" x14ac:dyDescent="0.35">
      <c r="A493" s="2">
        <v>10216</v>
      </c>
      <c r="B493" s="2" t="s">
        <v>556</v>
      </c>
      <c r="C493" s="2" t="s">
        <v>328</v>
      </c>
      <c r="D493" s="2" t="s">
        <v>63</v>
      </c>
      <c r="E493" s="2" t="s">
        <v>29</v>
      </c>
      <c r="F493" s="2" t="s">
        <v>30</v>
      </c>
      <c r="G493" s="2">
        <v>3</v>
      </c>
      <c r="H493" s="9">
        <v>199000</v>
      </c>
      <c r="I493" s="9">
        <v>597000</v>
      </c>
      <c r="J493" s="21">
        <v>45757</v>
      </c>
      <c r="K493" s="7" t="s">
        <v>1012</v>
      </c>
      <c r="L493" s="2" t="s">
        <v>24</v>
      </c>
      <c r="M493" s="2" t="s">
        <v>20</v>
      </c>
    </row>
    <row r="494" spans="1:13" x14ac:dyDescent="0.35">
      <c r="A494" s="2">
        <v>10223</v>
      </c>
      <c r="B494" s="2" t="s">
        <v>872</v>
      </c>
      <c r="C494" s="2" t="s">
        <v>329</v>
      </c>
      <c r="D494" s="2" t="s">
        <v>46</v>
      </c>
      <c r="E494" s="2" t="s">
        <v>18</v>
      </c>
      <c r="F494" s="2" t="s">
        <v>57</v>
      </c>
      <c r="G494" s="2">
        <v>2</v>
      </c>
      <c r="H494" s="9">
        <v>25000</v>
      </c>
      <c r="I494" s="9">
        <v>50000</v>
      </c>
      <c r="J494" s="21">
        <v>45910</v>
      </c>
      <c r="K494" s="7" t="s">
        <v>1015</v>
      </c>
      <c r="L494" s="2" t="s">
        <v>17</v>
      </c>
      <c r="M494" s="2" t="s">
        <v>27</v>
      </c>
    </row>
    <row r="495" spans="1:13" x14ac:dyDescent="0.35">
      <c r="A495" s="2">
        <v>10405</v>
      </c>
      <c r="B495" s="2" t="s">
        <v>333</v>
      </c>
      <c r="C495" s="2" t="s">
        <v>330</v>
      </c>
      <c r="D495" s="2" t="s">
        <v>46</v>
      </c>
      <c r="E495" s="2" t="s">
        <v>29</v>
      </c>
      <c r="F495" s="2" t="s">
        <v>81</v>
      </c>
      <c r="G495" s="2">
        <v>3</v>
      </c>
      <c r="H495" s="9">
        <v>35000</v>
      </c>
      <c r="I495" s="9">
        <v>105000</v>
      </c>
      <c r="J495" s="21">
        <v>45873</v>
      </c>
      <c r="K495" s="7" t="s">
        <v>1008</v>
      </c>
      <c r="L495" s="2" t="s">
        <v>36</v>
      </c>
      <c r="M495" s="2" t="s">
        <v>27</v>
      </c>
    </row>
    <row r="496" spans="1:13" x14ac:dyDescent="0.35">
      <c r="A496" s="2">
        <v>10588</v>
      </c>
      <c r="B496" s="2" t="s">
        <v>331</v>
      </c>
      <c r="C496" s="2" t="s">
        <v>332</v>
      </c>
      <c r="D496" s="2" t="s">
        <v>148</v>
      </c>
      <c r="E496" s="2" t="s">
        <v>29</v>
      </c>
      <c r="F496" s="2" t="s">
        <v>64</v>
      </c>
      <c r="G496" s="2">
        <v>10</v>
      </c>
      <c r="H496" s="9">
        <v>45000</v>
      </c>
      <c r="I496" s="9">
        <v>450000</v>
      </c>
      <c r="J496" s="21">
        <v>46010</v>
      </c>
      <c r="K496" s="7" t="s">
        <v>1010</v>
      </c>
      <c r="L496" s="2" t="s">
        <v>13</v>
      </c>
      <c r="M496" s="2" t="s">
        <v>20</v>
      </c>
    </row>
    <row r="497" spans="1:13" x14ac:dyDescent="0.35">
      <c r="A497" s="2">
        <v>10126</v>
      </c>
      <c r="B497" s="2" t="s">
        <v>167</v>
      </c>
      <c r="C497" s="2" t="s">
        <v>910</v>
      </c>
      <c r="D497" s="2" t="s">
        <v>86</v>
      </c>
      <c r="E497" s="2" t="s">
        <v>18</v>
      </c>
      <c r="F497" s="2" t="s">
        <v>26</v>
      </c>
      <c r="G497" s="2">
        <v>9</v>
      </c>
      <c r="H497" s="9">
        <v>199000</v>
      </c>
      <c r="I497" s="9">
        <v>1791000</v>
      </c>
      <c r="J497" s="21">
        <v>46010</v>
      </c>
      <c r="K497" s="7" t="s">
        <v>1010</v>
      </c>
      <c r="L497" s="2" t="s">
        <v>13</v>
      </c>
      <c r="M497" s="2" t="s">
        <v>31</v>
      </c>
    </row>
    <row r="498" spans="1:13" x14ac:dyDescent="0.35">
      <c r="A498" s="2">
        <v>10387</v>
      </c>
      <c r="B498" s="2" t="s">
        <v>333</v>
      </c>
      <c r="C498" s="2" t="s">
        <v>911</v>
      </c>
      <c r="D498" s="2" t="s">
        <v>46</v>
      </c>
      <c r="E498" s="2" t="s">
        <v>34</v>
      </c>
      <c r="F498" s="2" t="s">
        <v>35</v>
      </c>
      <c r="G498" s="2">
        <v>1</v>
      </c>
      <c r="H498" s="9">
        <v>50000</v>
      </c>
      <c r="I498" s="9">
        <v>50000</v>
      </c>
      <c r="J498" s="21">
        <v>45857</v>
      </c>
      <c r="K498" s="7" t="s">
        <v>1013</v>
      </c>
      <c r="L498" s="2" t="s">
        <v>24</v>
      </c>
      <c r="M498" s="2" t="s">
        <v>25</v>
      </c>
    </row>
    <row r="499" spans="1:13" x14ac:dyDescent="0.35">
      <c r="A499" s="2">
        <v>10134</v>
      </c>
      <c r="B499" s="2" t="s">
        <v>444</v>
      </c>
      <c r="C499" s="2" t="s">
        <v>334</v>
      </c>
      <c r="D499" s="2" t="s">
        <v>117</v>
      </c>
      <c r="E499" s="2" t="s">
        <v>18</v>
      </c>
      <c r="F499" s="2" t="s">
        <v>19</v>
      </c>
      <c r="G499" s="2">
        <v>4</v>
      </c>
      <c r="H499" s="9">
        <v>45000</v>
      </c>
      <c r="I499" s="9">
        <v>180000</v>
      </c>
      <c r="J499" s="21">
        <v>45688</v>
      </c>
      <c r="K499" s="7" t="s">
        <v>1005</v>
      </c>
      <c r="L499" s="2" t="s">
        <v>13</v>
      </c>
      <c r="M499" s="2" t="s">
        <v>25</v>
      </c>
    </row>
    <row r="500" spans="1:13" x14ac:dyDescent="0.35">
      <c r="A500" s="2">
        <v>10384</v>
      </c>
      <c r="B500" s="2" t="s">
        <v>912</v>
      </c>
      <c r="C500" s="2" t="s">
        <v>335</v>
      </c>
      <c r="D500" s="2" t="s">
        <v>23</v>
      </c>
      <c r="E500" s="2" t="s">
        <v>11</v>
      </c>
      <c r="F500" s="2" t="s">
        <v>39</v>
      </c>
      <c r="G500" s="2">
        <v>1</v>
      </c>
      <c r="H500" s="9">
        <v>250000</v>
      </c>
      <c r="I500" s="9">
        <v>250000</v>
      </c>
      <c r="J500" s="21">
        <v>45884</v>
      </c>
      <c r="K500" s="7" t="s">
        <v>1008</v>
      </c>
      <c r="L500" s="2" t="s">
        <v>17</v>
      </c>
      <c r="M500" s="2" t="s">
        <v>14</v>
      </c>
    </row>
    <row r="501" spans="1:13" x14ac:dyDescent="0.35">
      <c r="A501" s="2">
        <v>10240</v>
      </c>
      <c r="B501" s="2" t="s">
        <v>80</v>
      </c>
      <c r="C501" s="2" t="s">
        <v>913</v>
      </c>
      <c r="D501" s="2" t="s">
        <v>23</v>
      </c>
      <c r="E501" s="2" t="s">
        <v>15</v>
      </c>
      <c r="F501" s="2" t="s">
        <v>73</v>
      </c>
      <c r="G501" s="2">
        <v>8</v>
      </c>
      <c r="H501" s="9">
        <v>75000</v>
      </c>
      <c r="I501" s="9">
        <v>600000</v>
      </c>
      <c r="J501" s="21">
        <v>45895</v>
      </c>
      <c r="K501" s="7" t="s">
        <v>1008</v>
      </c>
      <c r="L501" s="2" t="s">
        <v>24</v>
      </c>
      <c r="M501" s="2" t="s">
        <v>25</v>
      </c>
    </row>
    <row r="502" spans="1:13" x14ac:dyDescent="0.35">
      <c r="A502" s="2">
        <v>10502</v>
      </c>
      <c r="B502" s="2" t="s">
        <v>831</v>
      </c>
      <c r="C502" s="2" t="s">
        <v>914</v>
      </c>
      <c r="D502" s="2" t="s">
        <v>66</v>
      </c>
      <c r="E502" s="2" t="s">
        <v>29</v>
      </c>
      <c r="F502" s="2" t="s">
        <v>67</v>
      </c>
      <c r="G502" s="2">
        <v>1</v>
      </c>
      <c r="H502" s="9">
        <v>250000</v>
      </c>
      <c r="I502" s="9">
        <v>250000</v>
      </c>
      <c r="J502" s="21">
        <v>45954</v>
      </c>
      <c r="K502" s="7" t="s">
        <v>1014</v>
      </c>
      <c r="L502" s="2" t="s">
        <v>24</v>
      </c>
      <c r="M502" s="2" t="s">
        <v>14</v>
      </c>
    </row>
    <row r="503" spans="1:13" x14ac:dyDescent="0.35">
      <c r="A503" s="2">
        <v>10290</v>
      </c>
      <c r="B503" s="2" t="s">
        <v>471</v>
      </c>
      <c r="C503" s="2" t="s">
        <v>436</v>
      </c>
      <c r="D503" s="2" t="s">
        <v>59</v>
      </c>
      <c r="E503" s="2" t="s">
        <v>11</v>
      </c>
      <c r="F503" s="2" t="s">
        <v>50</v>
      </c>
      <c r="G503" s="2">
        <v>1</v>
      </c>
      <c r="H503" s="9">
        <v>199000</v>
      </c>
      <c r="I503" s="9">
        <v>199000</v>
      </c>
      <c r="J503" s="21">
        <v>45813</v>
      </c>
      <c r="K503" s="7" t="s">
        <v>1007</v>
      </c>
      <c r="L503" s="2" t="s">
        <v>13</v>
      </c>
      <c r="M503" s="2" t="s">
        <v>25</v>
      </c>
    </row>
    <row r="504" spans="1:13" x14ac:dyDescent="0.35">
      <c r="A504" s="2">
        <v>10023</v>
      </c>
      <c r="B504" s="2" t="s">
        <v>219</v>
      </c>
      <c r="C504" s="2" t="s">
        <v>915</v>
      </c>
      <c r="D504" s="2" t="s">
        <v>63</v>
      </c>
      <c r="E504" s="2" t="s">
        <v>29</v>
      </c>
      <c r="F504" s="2" t="s">
        <v>30</v>
      </c>
      <c r="G504" s="2">
        <v>3</v>
      </c>
      <c r="H504" s="9">
        <v>120000</v>
      </c>
      <c r="I504" s="9">
        <v>360000</v>
      </c>
      <c r="J504" s="21">
        <v>45999</v>
      </c>
      <c r="K504" s="7" t="s">
        <v>1010</v>
      </c>
      <c r="L504" s="2" t="s">
        <v>13</v>
      </c>
      <c r="M504" s="2" t="s">
        <v>27</v>
      </c>
    </row>
    <row r="505" spans="1:13" x14ac:dyDescent="0.35">
      <c r="A505" s="2">
        <v>10425</v>
      </c>
      <c r="B505" s="2" t="s">
        <v>916</v>
      </c>
      <c r="C505" s="2" t="s">
        <v>917</v>
      </c>
      <c r="D505" s="2" t="s">
        <v>117</v>
      </c>
      <c r="E505" s="2" t="s">
        <v>29</v>
      </c>
      <c r="F505" s="2" t="s">
        <v>67</v>
      </c>
      <c r="G505" s="2">
        <v>10</v>
      </c>
      <c r="H505" s="9">
        <v>120000</v>
      </c>
      <c r="I505" s="9">
        <v>1200000</v>
      </c>
      <c r="J505" s="21">
        <v>45826</v>
      </c>
      <c r="K505" s="7" t="s">
        <v>1007</v>
      </c>
      <c r="L505" s="2" t="s">
        <v>36</v>
      </c>
      <c r="M505" s="2" t="s">
        <v>25</v>
      </c>
    </row>
    <row r="506" spans="1:13" x14ac:dyDescent="0.35">
      <c r="A506" s="2">
        <v>10360</v>
      </c>
      <c r="B506" s="2" t="s">
        <v>292</v>
      </c>
      <c r="C506" s="2" t="s">
        <v>336</v>
      </c>
      <c r="D506" s="2" t="s">
        <v>82</v>
      </c>
      <c r="E506" s="2" t="s">
        <v>29</v>
      </c>
      <c r="F506" s="2" t="s">
        <v>64</v>
      </c>
      <c r="G506" s="2">
        <v>1</v>
      </c>
      <c r="H506" s="9">
        <v>50000</v>
      </c>
      <c r="I506" s="9">
        <v>50000</v>
      </c>
      <c r="J506" s="21">
        <v>46006</v>
      </c>
      <c r="K506" s="7" t="s">
        <v>1010</v>
      </c>
      <c r="L506" s="2" t="s">
        <v>24</v>
      </c>
      <c r="M506" s="2" t="s">
        <v>20</v>
      </c>
    </row>
    <row r="507" spans="1:13" x14ac:dyDescent="0.35">
      <c r="A507" s="2">
        <v>10170</v>
      </c>
      <c r="B507" s="2" t="s">
        <v>430</v>
      </c>
      <c r="C507" s="2" t="s">
        <v>918</v>
      </c>
      <c r="D507" s="2" t="s">
        <v>86</v>
      </c>
      <c r="E507" s="2" t="s">
        <v>15</v>
      </c>
      <c r="F507" s="2" t="s">
        <v>55</v>
      </c>
      <c r="G507" s="2">
        <v>2</v>
      </c>
      <c r="H507" s="9">
        <v>45000</v>
      </c>
      <c r="I507" s="9">
        <v>90000</v>
      </c>
      <c r="J507" s="21">
        <v>45884</v>
      </c>
      <c r="K507" s="7" t="s">
        <v>1008</v>
      </c>
      <c r="L507" s="2" t="s">
        <v>36</v>
      </c>
      <c r="M507" s="2" t="s">
        <v>20</v>
      </c>
    </row>
    <row r="508" spans="1:13" x14ac:dyDescent="0.35">
      <c r="A508" s="2">
        <v>10159</v>
      </c>
      <c r="B508" s="2" t="s">
        <v>122</v>
      </c>
      <c r="C508" s="2" t="s">
        <v>919</v>
      </c>
      <c r="D508" s="2" t="s">
        <v>33</v>
      </c>
      <c r="E508" s="2" t="s">
        <v>11</v>
      </c>
      <c r="F508" s="2" t="s">
        <v>61</v>
      </c>
      <c r="G508" s="2">
        <v>3</v>
      </c>
      <c r="H508" s="9">
        <v>35000</v>
      </c>
      <c r="I508" s="9">
        <v>105000</v>
      </c>
      <c r="J508" s="21">
        <v>45881</v>
      </c>
      <c r="K508" s="7" t="s">
        <v>1008</v>
      </c>
      <c r="L508" s="2" t="s">
        <v>40</v>
      </c>
      <c r="M508" s="2" t="s">
        <v>25</v>
      </c>
    </row>
    <row r="509" spans="1:13" x14ac:dyDescent="0.35">
      <c r="A509" s="2">
        <v>10030</v>
      </c>
      <c r="B509" s="2" t="s">
        <v>337</v>
      </c>
      <c r="C509" s="2" t="s">
        <v>920</v>
      </c>
      <c r="D509" s="2" t="s">
        <v>117</v>
      </c>
      <c r="E509" s="2" t="s">
        <v>29</v>
      </c>
      <c r="F509" s="2" t="s">
        <v>30</v>
      </c>
      <c r="G509" s="2">
        <v>6</v>
      </c>
      <c r="H509" s="9">
        <v>250000</v>
      </c>
      <c r="I509" s="9">
        <v>1500000</v>
      </c>
      <c r="J509" s="21">
        <v>45893</v>
      </c>
      <c r="K509" s="7" t="s">
        <v>1008</v>
      </c>
      <c r="L509" s="2" t="s">
        <v>36</v>
      </c>
      <c r="M509" s="2" t="s">
        <v>20</v>
      </c>
    </row>
    <row r="510" spans="1:13" x14ac:dyDescent="0.35">
      <c r="A510" s="2">
        <v>10478</v>
      </c>
      <c r="B510" s="2" t="s">
        <v>725</v>
      </c>
      <c r="C510" s="2" t="s">
        <v>338</v>
      </c>
      <c r="D510" s="2" t="s">
        <v>33</v>
      </c>
      <c r="E510" s="2" t="s">
        <v>34</v>
      </c>
      <c r="F510" s="2" t="s">
        <v>37</v>
      </c>
      <c r="G510" s="2">
        <v>7</v>
      </c>
      <c r="H510" s="9">
        <v>75000</v>
      </c>
      <c r="I510" s="9">
        <v>525000</v>
      </c>
      <c r="J510" s="21">
        <v>45821</v>
      </c>
      <c r="K510" s="7" t="s">
        <v>1007</v>
      </c>
      <c r="L510" s="2" t="s">
        <v>40</v>
      </c>
      <c r="M510" s="2" t="s">
        <v>20</v>
      </c>
    </row>
    <row r="511" spans="1:13" x14ac:dyDescent="0.35">
      <c r="A511" s="2">
        <v>10462</v>
      </c>
      <c r="B511" s="2" t="s">
        <v>805</v>
      </c>
      <c r="C511" s="2" t="s">
        <v>339</v>
      </c>
      <c r="D511" s="2" t="s">
        <v>66</v>
      </c>
      <c r="E511" s="2" t="s">
        <v>11</v>
      </c>
      <c r="F511" s="2" t="s">
        <v>71</v>
      </c>
      <c r="G511" s="2">
        <v>10</v>
      </c>
      <c r="H511" s="9">
        <v>15000</v>
      </c>
      <c r="I511" s="9">
        <v>150000</v>
      </c>
      <c r="J511" s="21">
        <v>45969</v>
      </c>
      <c r="K511" s="7" t="s">
        <v>1009</v>
      </c>
      <c r="L511" s="2" t="s">
        <v>40</v>
      </c>
      <c r="M511" s="2" t="s">
        <v>25</v>
      </c>
    </row>
    <row r="512" spans="1:13" x14ac:dyDescent="0.35">
      <c r="A512" s="2">
        <v>10322</v>
      </c>
      <c r="B512" s="2" t="s">
        <v>921</v>
      </c>
      <c r="C512" s="2" t="s">
        <v>922</v>
      </c>
      <c r="D512" s="2" t="s">
        <v>23</v>
      </c>
      <c r="E512" s="2" t="s">
        <v>29</v>
      </c>
      <c r="F512" s="2" t="s">
        <v>41</v>
      </c>
      <c r="G512" s="2">
        <v>8</v>
      </c>
      <c r="H512" s="9">
        <v>250000</v>
      </c>
      <c r="I512" s="9">
        <v>2000000</v>
      </c>
      <c r="J512" s="21">
        <v>45942</v>
      </c>
      <c r="K512" s="7" t="s">
        <v>1014</v>
      </c>
      <c r="L512" s="2" t="s">
        <v>24</v>
      </c>
      <c r="M512" s="2" t="s">
        <v>27</v>
      </c>
    </row>
    <row r="513" spans="1:13" x14ac:dyDescent="0.35">
      <c r="A513" s="2">
        <v>10298</v>
      </c>
      <c r="B513" s="2" t="s">
        <v>668</v>
      </c>
      <c r="C513" s="2" t="s">
        <v>436</v>
      </c>
      <c r="D513" s="2" t="s">
        <v>66</v>
      </c>
      <c r="E513" s="2" t="s">
        <v>15</v>
      </c>
      <c r="F513" s="2" t="s">
        <v>73</v>
      </c>
      <c r="G513" s="2">
        <v>1</v>
      </c>
      <c r="H513" s="9">
        <v>50000</v>
      </c>
      <c r="I513" s="9">
        <v>50000</v>
      </c>
      <c r="J513" s="21">
        <v>45793</v>
      </c>
      <c r="K513" s="7" t="s">
        <v>1006</v>
      </c>
      <c r="L513" s="2" t="s">
        <v>36</v>
      </c>
      <c r="M513" s="2" t="s">
        <v>20</v>
      </c>
    </row>
    <row r="514" spans="1:13" x14ac:dyDescent="0.35">
      <c r="A514" s="2">
        <v>10311</v>
      </c>
      <c r="B514" s="2" t="s">
        <v>136</v>
      </c>
      <c r="C514" s="2" t="s">
        <v>923</v>
      </c>
      <c r="D514" s="2" t="s">
        <v>148</v>
      </c>
      <c r="E514" s="2" t="s">
        <v>18</v>
      </c>
      <c r="F514" s="2" t="s">
        <v>19</v>
      </c>
      <c r="G514" s="2">
        <v>2</v>
      </c>
      <c r="H514" s="9">
        <v>99000</v>
      </c>
      <c r="I514" s="9">
        <v>198000</v>
      </c>
      <c r="J514" s="21">
        <v>45925</v>
      </c>
      <c r="K514" s="7" t="s">
        <v>1015</v>
      </c>
      <c r="L514" s="2" t="s">
        <v>40</v>
      </c>
      <c r="M514" s="2" t="s">
        <v>31</v>
      </c>
    </row>
    <row r="515" spans="1:13" x14ac:dyDescent="0.35">
      <c r="A515" s="2">
        <v>10542</v>
      </c>
      <c r="B515" s="2" t="s">
        <v>361</v>
      </c>
      <c r="C515" s="2" t="s">
        <v>924</v>
      </c>
      <c r="D515" s="2" t="s">
        <v>33</v>
      </c>
      <c r="E515" s="2" t="s">
        <v>18</v>
      </c>
      <c r="F515" s="2" t="s">
        <v>26</v>
      </c>
      <c r="G515" s="2">
        <v>2</v>
      </c>
      <c r="H515" s="9">
        <v>150000</v>
      </c>
      <c r="I515" s="9">
        <v>300000</v>
      </c>
      <c r="J515" s="21">
        <v>45725</v>
      </c>
      <c r="K515" s="7" t="s">
        <v>1016</v>
      </c>
      <c r="L515" s="2" t="s">
        <v>36</v>
      </c>
      <c r="M515" s="2" t="s">
        <v>25</v>
      </c>
    </row>
    <row r="516" spans="1:13" x14ac:dyDescent="0.35">
      <c r="A516" s="2">
        <v>10596</v>
      </c>
      <c r="B516" s="2" t="s">
        <v>211</v>
      </c>
      <c r="C516" s="2" t="s">
        <v>340</v>
      </c>
      <c r="D516" s="2" t="s">
        <v>33</v>
      </c>
      <c r="E516" s="2" t="s">
        <v>18</v>
      </c>
      <c r="F516" s="2" t="s">
        <v>52</v>
      </c>
      <c r="G516" s="2">
        <v>4</v>
      </c>
      <c r="H516" s="9">
        <v>120000</v>
      </c>
      <c r="I516" s="9">
        <v>480000</v>
      </c>
      <c r="J516" s="21">
        <v>46000</v>
      </c>
      <c r="K516" s="7" t="s">
        <v>1010</v>
      </c>
      <c r="L516" s="2" t="s">
        <v>40</v>
      </c>
      <c r="M516" s="2" t="s">
        <v>20</v>
      </c>
    </row>
    <row r="517" spans="1:13" x14ac:dyDescent="0.35">
      <c r="A517" s="2">
        <v>10085</v>
      </c>
      <c r="B517" s="2" t="s">
        <v>925</v>
      </c>
      <c r="C517" s="2" t="s">
        <v>926</v>
      </c>
      <c r="D517" s="2" t="s">
        <v>63</v>
      </c>
      <c r="E517" s="2" t="s">
        <v>18</v>
      </c>
      <c r="F517" s="2" t="s">
        <v>57</v>
      </c>
      <c r="G517" s="2">
        <v>2</v>
      </c>
      <c r="H517" s="9">
        <v>50000</v>
      </c>
      <c r="I517" s="9">
        <v>100000</v>
      </c>
      <c r="J517" s="21">
        <v>45861</v>
      </c>
      <c r="K517" s="7" t="s">
        <v>1013</v>
      </c>
      <c r="L517" s="2" t="s">
        <v>40</v>
      </c>
      <c r="M517" s="2" t="s">
        <v>27</v>
      </c>
    </row>
    <row r="518" spans="1:13" x14ac:dyDescent="0.35">
      <c r="A518" s="2">
        <v>10498</v>
      </c>
      <c r="B518" s="2" t="s">
        <v>927</v>
      </c>
      <c r="C518" s="2" t="s">
        <v>928</v>
      </c>
      <c r="D518" s="2" t="s">
        <v>63</v>
      </c>
      <c r="E518" s="2" t="s">
        <v>29</v>
      </c>
      <c r="F518" s="2" t="s">
        <v>64</v>
      </c>
      <c r="G518" s="2">
        <v>7</v>
      </c>
      <c r="H518" s="9">
        <v>45000</v>
      </c>
      <c r="I518" s="9">
        <v>315000</v>
      </c>
      <c r="J518" s="21">
        <v>45772</v>
      </c>
      <c r="K518" s="7" t="s">
        <v>1012</v>
      </c>
      <c r="L518" s="2" t="s">
        <v>40</v>
      </c>
      <c r="M518" s="2" t="s">
        <v>27</v>
      </c>
    </row>
    <row r="519" spans="1:13" x14ac:dyDescent="0.35">
      <c r="A519" s="2">
        <v>10033</v>
      </c>
      <c r="B519" s="2" t="s">
        <v>154</v>
      </c>
      <c r="C519" s="2" t="s">
        <v>341</v>
      </c>
      <c r="D519" s="2" t="s">
        <v>63</v>
      </c>
      <c r="E519" s="2" t="s">
        <v>11</v>
      </c>
      <c r="F519" s="2" t="s">
        <v>71</v>
      </c>
      <c r="G519" s="2">
        <v>5</v>
      </c>
      <c r="H519" s="9">
        <v>50000</v>
      </c>
      <c r="I519" s="9">
        <v>250000</v>
      </c>
      <c r="J519" s="21">
        <v>45786</v>
      </c>
      <c r="K519" s="7" t="s">
        <v>1006</v>
      </c>
      <c r="L519" s="2" t="s">
        <v>36</v>
      </c>
      <c r="M519" s="2" t="s">
        <v>14</v>
      </c>
    </row>
    <row r="520" spans="1:13" x14ac:dyDescent="0.35">
      <c r="A520" s="2">
        <v>10412</v>
      </c>
      <c r="B520" s="2" t="s">
        <v>929</v>
      </c>
      <c r="C520" s="2" t="s">
        <v>342</v>
      </c>
      <c r="D520" s="2" t="s">
        <v>59</v>
      </c>
      <c r="E520" s="2" t="s">
        <v>34</v>
      </c>
      <c r="F520" s="2" t="s">
        <v>47</v>
      </c>
      <c r="G520" s="2">
        <v>7</v>
      </c>
      <c r="H520" s="9">
        <v>250000</v>
      </c>
      <c r="I520" s="9">
        <v>1750000</v>
      </c>
      <c r="J520" s="21">
        <v>45864</v>
      </c>
      <c r="K520" s="7" t="s">
        <v>1013</v>
      </c>
      <c r="L520" s="2" t="s">
        <v>13</v>
      </c>
      <c r="M520" s="2" t="s">
        <v>25</v>
      </c>
    </row>
    <row r="521" spans="1:13" x14ac:dyDescent="0.35">
      <c r="A521" s="2">
        <v>10261</v>
      </c>
      <c r="B521" s="2" t="s">
        <v>930</v>
      </c>
      <c r="C521" s="2" t="s">
        <v>931</v>
      </c>
      <c r="D521" s="2" t="s">
        <v>148</v>
      </c>
      <c r="E521" s="2" t="s">
        <v>18</v>
      </c>
      <c r="F521" s="2" t="s">
        <v>19</v>
      </c>
      <c r="G521" s="2">
        <v>3</v>
      </c>
      <c r="H521" s="9">
        <v>50000</v>
      </c>
      <c r="I521" s="9">
        <v>150000</v>
      </c>
      <c r="J521" s="21">
        <v>46010</v>
      </c>
      <c r="K521" s="7" t="s">
        <v>1010</v>
      </c>
      <c r="L521" s="2" t="s">
        <v>13</v>
      </c>
      <c r="M521" s="2" t="s">
        <v>31</v>
      </c>
    </row>
    <row r="522" spans="1:13" x14ac:dyDescent="0.35">
      <c r="A522" s="2">
        <v>10399</v>
      </c>
      <c r="B522" s="2" t="s">
        <v>932</v>
      </c>
      <c r="C522" s="2" t="s">
        <v>343</v>
      </c>
      <c r="D522" s="2" t="s">
        <v>82</v>
      </c>
      <c r="E522" s="2" t="s">
        <v>18</v>
      </c>
      <c r="F522" s="2" t="s">
        <v>26</v>
      </c>
      <c r="G522" s="2">
        <v>2</v>
      </c>
      <c r="H522" s="9">
        <v>75000</v>
      </c>
      <c r="I522" s="9">
        <v>150000</v>
      </c>
      <c r="J522" s="21">
        <v>45991</v>
      </c>
      <c r="K522" s="7" t="s">
        <v>1009</v>
      </c>
      <c r="L522" s="2" t="s">
        <v>24</v>
      </c>
      <c r="M522" s="2" t="s">
        <v>20</v>
      </c>
    </row>
    <row r="523" spans="1:13" x14ac:dyDescent="0.35">
      <c r="A523" s="2">
        <v>10174</v>
      </c>
      <c r="B523" s="2" t="s">
        <v>186</v>
      </c>
      <c r="C523" s="2" t="s">
        <v>933</v>
      </c>
      <c r="D523" s="2" t="s">
        <v>82</v>
      </c>
      <c r="E523" s="2" t="s">
        <v>18</v>
      </c>
      <c r="F523" s="2" t="s">
        <v>26</v>
      </c>
      <c r="G523" s="2">
        <v>7</v>
      </c>
      <c r="H523" s="9">
        <v>199000</v>
      </c>
      <c r="I523" s="9">
        <v>1393000</v>
      </c>
      <c r="J523" s="21">
        <v>45710</v>
      </c>
      <c r="K523" s="7" t="s">
        <v>1011</v>
      </c>
      <c r="L523" s="2" t="s">
        <v>24</v>
      </c>
      <c r="M523" s="2" t="s">
        <v>27</v>
      </c>
    </row>
    <row r="524" spans="1:13" x14ac:dyDescent="0.35">
      <c r="A524" s="2">
        <v>10545</v>
      </c>
      <c r="B524" s="2" t="s">
        <v>755</v>
      </c>
      <c r="C524" s="2" t="s">
        <v>934</v>
      </c>
      <c r="D524" s="2" t="s">
        <v>148</v>
      </c>
      <c r="E524" s="2" t="s">
        <v>15</v>
      </c>
      <c r="F524" s="2" t="s">
        <v>49</v>
      </c>
      <c r="G524" s="2">
        <v>2</v>
      </c>
      <c r="H524" s="9">
        <v>250000</v>
      </c>
      <c r="I524" s="9">
        <v>500000</v>
      </c>
      <c r="J524" s="21">
        <v>45697</v>
      </c>
      <c r="K524" s="7" t="s">
        <v>1011</v>
      </c>
      <c r="L524" s="2" t="s">
        <v>24</v>
      </c>
      <c r="M524" s="2" t="s">
        <v>25</v>
      </c>
    </row>
    <row r="525" spans="1:13" x14ac:dyDescent="0.35">
      <c r="A525" s="2">
        <v>10215</v>
      </c>
      <c r="B525" s="2" t="s">
        <v>359</v>
      </c>
      <c r="C525" s="2" t="s">
        <v>344</v>
      </c>
      <c r="D525" s="2" t="s">
        <v>63</v>
      </c>
      <c r="E525" s="2" t="s">
        <v>34</v>
      </c>
      <c r="F525" s="2" t="s">
        <v>45</v>
      </c>
      <c r="G525" s="2">
        <v>8</v>
      </c>
      <c r="H525" s="9">
        <v>199000</v>
      </c>
      <c r="I525" s="9">
        <v>1592000</v>
      </c>
      <c r="J525" s="21">
        <v>45960</v>
      </c>
      <c r="K525" s="7" t="s">
        <v>1014</v>
      </c>
      <c r="L525" s="2" t="s">
        <v>24</v>
      </c>
      <c r="M525" s="2" t="s">
        <v>31</v>
      </c>
    </row>
    <row r="526" spans="1:13" x14ac:dyDescent="0.35">
      <c r="A526" s="2">
        <v>10510</v>
      </c>
      <c r="B526" s="2" t="s">
        <v>935</v>
      </c>
      <c r="C526" s="2" t="s">
        <v>436</v>
      </c>
      <c r="D526" s="2" t="s">
        <v>86</v>
      </c>
      <c r="E526" s="2" t="s">
        <v>15</v>
      </c>
      <c r="F526" s="2" t="s">
        <v>16</v>
      </c>
      <c r="G526" s="2">
        <v>9</v>
      </c>
      <c r="H526" s="9">
        <v>150000</v>
      </c>
      <c r="I526" s="9">
        <v>1350000</v>
      </c>
      <c r="J526" s="21">
        <v>45678</v>
      </c>
      <c r="K526" s="7" t="s">
        <v>1005</v>
      </c>
      <c r="L526" s="2" t="s">
        <v>17</v>
      </c>
      <c r="M526" s="2" t="s">
        <v>14</v>
      </c>
    </row>
    <row r="527" spans="1:13" x14ac:dyDescent="0.35">
      <c r="A527" s="2">
        <v>10590</v>
      </c>
      <c r="B527" s="2" t="s">
        <v>936</v>
      </c>
      <c r="C527" s="2" t="s">
        <v>937</v>
      </c>
      <c r="D527" s="2" t="s">
        <v>86</v>
      </c>
      <c r="E527" s="2" t="s">
        <v>18</v>
      </c>
      <c r="F527" s="2" t="s">
        <v>70</v>
      </c>
      <c r="G527" s="2">
        <v>7</v>
      </c>
      <c r="H527" s="9">
        <v>45000</v>
      </c>
      <c r="I527" s="9">
        <v>315000</v>
      </c>
      <c r="J527" s="21">
        <v>45754</v>
      </c>
      <c r="K527" s="7" t="s">
        <v>1012</v>
      </c>
      <c r="L527" s="2" t="s">
        <v>17</v>
      </c>
      <c r="M527" s="2" t="s">
        <v>31</v>
      </c>
    </row>
    <row r="528" spans="1:13" x14ac:dyDescent="0.35">
      <c r="A528" s="2">
        <v>10155</v>
      </c>
      <c r="B528" s="2" t="s">
        <v>938</v>
      </c>
      <c r="C528" s="2" t="s">
        <v>345</v>
      </c>
      <c r="D528" s="2" t="s">
        <v>82</v>
      </c>
      <c r="E528" s="2" t="s">
        <v>29</v>
      </c>
      <c r="F528" s="2" t="s">
        <v>64</v>
      </c>
      <c r="G528" s="2">
        <v>7</v>
      </c>
      <c r="H528" s="9">
        <v>35000</v>
      </c>
      <c r="I528" s="9">
        <v>245000</v>
      </c>
      <c r="J528" s="21">
        <v>45724</v>
      </c>
      <c r="K528" s="7" t="s">
        <v>1016</v>
      </c>
      <c r="L528" s="2" t="s">
        <v>36</v>
      </c>
      <c r="M528" s="2" t="s">
        <v>27</v>
      </c>
    </row>
    <row r="529" spans="1:13" x14ac:dyDescent="0.35">
      <c r="A529" s="2">
        <v>10455</v>
      </c>
      <c r="B529" s="2" t="s">
        <v>601</v>
      </c>
      <c r="C529" s="2" t="s">
        <v>939</v>
      </c>
      <c r="D529" s="2" t="s">
        <v>117</v>
      </c>
      <c r="E529" s="2" t="s">
        <v>34</v>
      </c>
      <c r="F529" s="2" t="s">
        <v>45</v>
      </c>
      <c r="G529" s="2">
        <v>2</v>
      </c>
      <c r="H529" s="9">
        <v>50000</v>
      </c>
      <c r="I529" s="9">
        <v>100000</v>
      </c>
      <c r="J529" s="21">
        <v>45866</v>
      </c>
      <c r="K529" s="7" t="s">
        <v>1013</v>
      </c>
      <c r="L529" s="2" t="s">
        <v>17</v>
      </c>
      <c r="M529" s="2" t="s">
        <v>14</v>
      </c>
    </row>
    <row r="530" spans="1:13" x14ac:dyDescent="0.35">
      <c r="A530" s="2">
        <v>10354</v>
      </c>
      <c r="B530" s="2" t="s">
        <v>788</v>
      </c>
      <c r="C530" s="2" t="s">
        <v>940</v>
      </c>
      <c r="D530" s="2" t="s">
        <v>86</v>
      </c>
      <c r="E530" s="2" t="s">
        <v>15</v>
      </c>
      <c r="F530" s="2" t="s">
        <v>49</v>
      </c>
      <c r="G530" s="2">
        <v>3</v>
      </c>
      <c r="H530" s="9">
        <v>99000</v>
      </c>
      <c r="I530" s="9">
        <v>297000</v>
      </c>
      <c r="J530" s="21">
        <v>45763</v>
      </c>
      <c r="K530" s="7" t="s">
        <v>1012</v>
      </c>
      <c r="L530" s="2" t="s">
        <v>13</v>
      </c>
      <c r="M530" s="2" t="s">
        <v>31</v>
      </c>
    </row>
    <row r="531" spans="1:13" x14ac:dyDescent="0.35">
      <c r="A531" s="2">
        <v>10327</v>
      </c>
      <c r="B531" s="2" t="s">
        <v>196</v>
      </c>
      <c r="C531" s="2" t="s">
        <v>346</v>
      </c>
      <c r="D531" s="2" t="s">
        <v>59</v>
      </c>
      <c r="E531" s="2" t="s">
        <v>34</v>
      </c>
      <c r="F531" s="2" t="s">
        <v>45</v>
      </c>
      <c r="G531" s="2">
        <v>3</v>
      </c>
      <c r="H531" s="9">
        <v>15000</v>
      </c>
      <c r="I531" s="9">
        <v>45000</v>
      </c>
      <c r="J531" s="21">
        <v>45797</v>
      </c>
      <c r="K531" s="7" t="s">
        <v>1006</v>
      </c>
      <c r="L531" s="2" t="s">
        <v>17</v>
      </c>
      <c r="M531" s="2" t="s">
        <v>20</v>
      </c>
    </row>
    <row r="532" spans="1:13" x14ac:dyDescent="0.35">
      <c r="A532" s="2">
        <v>10348</v>
      </c>
      <c r="B532" s="2" t="s">
        <v>827</v>
      </c>
      <c r="C532" s="2" t="s">
        <v>941</v>
      </c>
      <c r="D532" s="2" t="s">
        <v>117</v>
      </c>
      <c r="E532" s="2" t="s">
        <v>34</v>
      </c>
      <c r="F532" s="2" t="s">
        <v>35</v>
      </c>
      <c r="G532" s="2">
        <v>3</v>
      </c>
      <c r="H532" s="9">
        <v>45000</v>
      </c>
      <c r="I532" s="9">
        <v>135000</v>
      </c>
      <c r="J532" s="21">
        <v>45798</v>
      </c>
      <c r="K532" s="7" t="s">
        <v>1006</v>
      </c>
      <c r="L532" s="2" t="s">
        <v>40</v>
      </c>
      <c r="M532" s="2" t="s">
        <v>20</v>
      </c>
    </row>
    <row r="533" spans="1:13" x14ac:dyDescent="0.35">
      <c r="A533" s="2">
        <v>10351</v>
      </c>
      <c r="B533" s="2" t="s">
        <v>734</v>
      </c>
      <c r="C533" s="2" t="s">
        <v>942</v>
      </c>
      <c r="D533" s="2" t="s">
        <v>46</v>
      </c>
      <c r="E533" s="2" t="s">
        <v>18</v>
      </c>
      <c r="F533" s="2" t="s">
        <v>70</v>
      </c>
      <c r="G533" s="2">
        <v>8</v>
      </c>
      <c r="H533" s="9">
        <v>15000</v>
      </c>
      <c r="I533" s="9">
        <v>120000</v>
      </c>
      <c r="J533" s="21">
        <v>45684</v>
      </c>
      <c r="K533" s="7" t="s">
        <v>1005</v>
      </c>
      <c r="L533" s="2" t="s">
        <v>36</v>
      </c>
      <c r="M533" s="2" t="s">
        <v>20</v>
      </c>
    </row>
    <row r="534" spans="1:13" x14ac:dyDescent="0.35">
      <c r="A534" s="2">
        <v>10012</v>
      </c>
      <c r="B534" s="2" t="s">
        <v>943</v>
      </c>
      <c r="C534" s="2" t="s">
        <v>347</v>
      </c>
      <c r="D534" s="2" t="s">
        <v>66</v>
      </c>
      <c r="E534" s="2" t="s">
        <v>18</v>
      </c>
      <c r="F534" s="2" t="s">
        <v>52</v>
      </c>
      <c r="G534" s="2">
        <v>9</v>
      </c>
      <c r="H534" s="9">
        <v>150000</v>
      </c>
      <c r="I534" s="9">
        <v>1350000</v>
      </c>
      <c r="J534" s="21">
        <v>45738</v>
      </c>
      <c r="K534" s="7" t="s">
        <v>1016</v>
      </c>
      <c r="L534" s="2" t="s">
        <v>24</v>
      </c>
      <c r="M534" s="2" t="s">
        <v>27</v>
      </c>
    </row>
    <row r="535" spans="1:13" x14ac:dyDescent="0.35">
      <c r="A535" s="2">
        <v>10571</v>
      </c>
      <c r="B535" s="2" t="s">
        <v>21</v>
      </c>
      <c r="C535" s="2" t="s">
        <v>944</v>
      </c>
      <c r="D535" s="2" t="s">
        <v>66</v>
      </c>
      <c r="E535" s="2" t="s">
        <v>18</v>
      </c>
      <c r="F535" s="2" t="s">
        <v>57</v>
      </c>
      <c r="G535" s="2">
        <v>9</v>
      </c>
      <c r="H535" s="9">
        <v>99000</v>
      </c>
      <c r="I535" s="9">
        <v>891000</v>
      </c>
      <c r="J535" s="21">
        <v>45817</v>
      </c>
      <c r="K535" s="7" t="s">
        <v>1007</v>
      </c>
      <c r="L535" s="2" t="s">
        <v>24</v>
      </c>
      <c r="M535" s="2" t="s">
        <v>31</v>
      </c>
    </row>
    <row r="536" spans="1:13" x14ac:dyDescent="0.35">
      <c r="A536" s="2">
        <v>10487</v>
      </c>
      <c r="B536" s="2" t="s">
        <v>841</v>
      </c>
      <c r="C536" s="2" t="s">
        <v>348</v>
      </c>
      <c r="D536" s="2" t="s">
        <v>46</v>
      </c>
      <c r="E536" s="2" t="s">
        <v>29</v>
      </c>
      <c r="F536" s="2" t="s">
        <v>30</v>
      </c>
      <c r="G536" s="2">
        <v>4</v>
      </c>
      <c r="H536" s="9">
        <v>45000</v>
      </c>
      <c r="I536" s="9">
        <v>180000</v>
      </c>
      <c r="J536" s="21">
        <v>45970</v>
      </c>
      <c r="K536" s="7" t="s">
        <v>1009</v>
      </c>
      <c r="L536" s="2" t="s">
        <v>13</v>
      </c>
      <c r="M536" s="2" t="s">
        <v>14</v>
      </c>
    </row>
    <row r="537" spans="1:13" x14ac:dyDescent="0.35">
      <c r="A537" s="2">
        <v>10398</v>
      </c>
      <c r="B537" s="2" t="s">
        <v>158</v>
      </c>
      <c r="C537" s="2" t="s">
        <v>349</v>
      </c>
      <c r="D537" s="2" t="s">
        <v>66</v>
      </c>
      <c r="E537" s="2" t="s">
        <v>29</v>
      </c>
      <c r="F537" s="2" t="s">
        <v>64</v>
      </c>
      <c r="G537" s="2">
        <v>10</v>
      </c>
      <c r="H537" s="9">
        <v>250000</v>
      </c>
      <c r="I537" s="9">
        <v>2500000</v>
      </c>
      <c r="J537" s="21">
        <v>45879</v>
      </c>
      <c r="K537" s="7" t="s">
        <v>1008</v>
      </c>
      <c r="L537" s="2" t="s">
        <v>24</v>
      </c>
      <c r="M537" s="2" t="s">
        <v>14</v>
      </c>
    </row>
    <row r="538" spans="1:13" x14ac:dyDescent="0.35">
      <c r="A538" s="2">
        <v>10554</v>
      </c>
      <c r="B538" s="2" t="s">
        <v>99</v>
      </c>
      <c r="C538" s="2" t="s">
        <v>945</v>
      </c>
      <c r="D538" s="2" t="s">
        <v>148</v>
      </c>
      <c r="E538" s="2" t="s">
        <v>29</v>
      </c>
      <c r="F538" s="2" t="s">
        <v>81</v>
      </c>
      <c r="G538" s="2">
        <v>10</v>
      </c>
      <c r="H538" s="9">
        <v>45000</v>
      </c>
      <c r="I538" s="9">
        <v>450000</v>
      </c>
      <c r="J538" s="21">
        <v>45818</v>
      </c>
      <c r="K538" s="7" t="s">
        <v>1007</v>
      </c>
      <c r="L538" s="2" t="s">
        <v>13</v>
      </c>
      <c r="M538" s="2" t="s">
        <v>27</v>
      </c>
    </row>
    <row r="539" spans="1:13" x14ac:dyDescent="0.35">
      <c r="A539" s="2">
        <v>10336</v>
      </c>
      <c r="B539" s="2" t="s">
        <v>946</v>
      </c>
      <c r="C539" s="2" t="s">
        <v>947</v>
      </c>
      <c r="D539" s="2" t="s">
        <v>117</v>
      </c>
      <c r="E539" s="2" t="s">
        <v>18</v>
      </c>
      <c r="F539" s="2" t="s">
        <v>70</v>
      </c>
      <c r="G539" s="2">
        <v>3</v>
      </c>
      <c r="H539" s="9">
        <v>120000</v>
      </c>
      <c r="I539" s="9">
        <v>360000</v>
      </c>
      <c r="J539" s="21">
        <v>45713</v>
      </c>
      <c r="K539" s="7" t="s">
        <v>1011</v>
      </c>
      <c r="L539" s="2" t="s">
        <v>24</v>
      </c>
      <c r="M539" s="2" t="s">
        <v>25</v>
      </c>
    </row>
    <row r="540" spans="1:13" x14ac:dyDescent="0.35">
      <c r="A540" s="2">
        <v>10430</v>
      </c>
      <c r="B540" s="2" t="s">
        <v>130</v>
      </c>
      <c r="C540" s="2" t="s">
        <v>350</v>
      </c>
      <c r="D540" s="2" t="s">
        <v>117</v>
      </c>
      <c r="E540" s="2" t="s">
        <v>15</v>
      </c>
      <c r="F540" s="2" t="s">
        <v>73</v>
      </c>
      <c r="G540" s="2">
        <v>7</v>
      </c>
      <c r="H540" s="9">
        <v>120000</v>
      </c>
      <c r="I540" s="9">
        <v>840000</v>
      </c>
      <c r="J540" s="21">
        <v>45815</v>
      </c>
      <c r="K540" s="7" t="s">
        <v>1007</v>
      </c>
      <c r="L540" s="2" t="s">
        <v>13</v>
      </c>
      <c r="M540" s="2" t="s">
        <v>14</v>
      </c>
    </row>
    <row r="541" spans="1:13" x14ac:dyDescent="0.35">
      <c r="A541" s="2">
        <v>10294</v>
      </c>
      <c r="B541" s="2" t="s">
        <v>321</v>
      </c>
      <c r="C541" s="2" t="s">
        <v>948</v>
      </c>
      <c r="D541" s="2" t="s">
        <v>59</v>
      </c>
      <c r="E541" s="2" t="s">
        <v>29</v>
      </c>
      <c r="F541" s="2" t="s">
        <v>81</v>
      </c>
      <c r="G541" s="2">
        <v>9</v>
      </c>
      <c r="H541" s="9">
        <v>250000</v>
      </c>
      <c r="I541" s="9">
        <v>2250000</v>
      </c>
      <c r="J541" s="21">
        <v>45839</v>
      </c>
      <c r="K541" s="7" t="s">
        <v>1013</v>
      </c>
      <c r="L541" s="2" t="s">
        <v>40</v>
      </c>
      <c r="M541" s="2" t="s">
        <v>27</v>
      </c>
    </row>
    <row r="542" spans="1:13" x14ac:dyDescent="0.35">
      <c r="A542" s="2">
        <v>10065</v>
      </c>
      <c r="B542" s="2" t="s">
        <v>351</v>
      </c>
      <c r="C542" s="2" t="s">
        <v>949</v>
      </c>
      <c r="D542" s="2" t="s">
        <v>23</v>
      </c>
      <c r="E542" s="2" t="s">
        <v>18</v>
      </c>
      <c r="F542" s="2" t="s">
        <v>52</v>
      </c>
      <c r="G542" s="2">
        <v>9</v>
      </c>
      <c r="H542" s="9">
        <v>25000</v>
      </c>
      <c r="I542" s="9">
        <v>225000</v>
      </c>
      <c r="J542" s="21">
        <v>45860</v>
      </c>
      <c r="K542" s="7" t="s">
        <v>1013</v>
      </c>
      <c r="L542" s="2" t="s">
        <v>17</v>
      </c>
      <c r="M542" s="2" t="s">
        <v>25</v>
      </c>
    </row>
    <row r="543" spans="1:13" x14ac:dyDescent="0.35">
      <c r="A543" s="2">
        <v>10018</v>
      </c>
      <c r="B543" s="2" t="s">
        <v>160</v>
      </c>
      <c r="C543" s="2" t="s">
        <v>352</v>
      </c>
      <c r="D543" s="2" t="s">
        <v>66</v>
      </c>
      <c r="E543" s="2" t="s">
        <v>34</v>
      </c>
      <c r="F543" s="2" t="s">
        <v>47</v>
      </c>
      <c r="G543" s="2">
        <v>6</v>
      </c>
      <c r="H543" s="9">
        <v>50000</v>
      </c>
      <c r="I543" s="9">
        <v>300000</v>
      </c>
      <c r="J543" s="21">
        <v>45779</v>
      </c>
      <c r="K543" s="7" t="s">
        <v>1006</v>
      </c>
      <c r="L543" s="2" t="s">
        <v>17</v>
      </c>
      <c r="M543" s="2" t="s">
        <v>25</v>
      </c>
    </row>
    <row r="544" spans="1:13" x14ac:dyDescent="0.35">
      <c r="A544" s="2">
        <v>10230</v>
      </c>
      <c r="B544" s="2" t="s">
        <v>353</v>
      </c>
      <c r="C544" s="2" t="s">
        <v>950</v>
      </c>
      <c r="D544" s="2" t="s">
        <v>86</v>
      </c>
      <c r="E544" s="2" t="s">
        <v>18</v>
      </c>
      <c r="F544" s="2" t="s">
        <v>52</v>
      </c>
      <c r="G544" s="2">
        <v>7</v>
      </c>
      <c r="H544" s="9">
        <v>45000</v>
      </c>
      <c r="I544" s="9">
        <v>315000</v>
      </c>
      <c r="J544" s="21">
        <v>45732</v>
      </c>
      <c r="K544" s="7" t="s">
        <v>1016</v>
      </c>
      <c r="L544" s="2" t="s">
        <v>36</v>
      </c>
      <c r="M544" s="2" t="s">
        <v>20</v>
      </c>
    </row>
    <row r="545" spans="1:13" x14ac:dyDescent="0.35">
      <c r="A545" s="2">
        <v>10226</v>
      </c>
      <c r="B545" s="2" t="s">
        <v>558</v>
      </c>
      <c r="C545" s="2" t="s">
        <v>951</v>
      </c>
      <c r="D545" s="2" t="s">
        <v>59</v>
      </c>
      <c r="E545" s="2" t="s">
        <v>34</v>
      </c>
      <c r="F545" s="2" t="s">
        <v>77</v>
      </c>
      <c r="G545" s="2">
        <v>5</v>
      </c>
      <c r="H545" s="9">
        <v>35000</v>
      </c>
      <c r="I545" s="9">
        <v>175000</v>
      </c>
      <c r="J545" s="21">
        <v>46007</v>
      </c>
      <c r="K545" s="7" t="s">
        <v>1010</v>
      </c>
      <c r="L545" s="2" t="s">
        <v>36</v>
      </c>
      <c r="M545" s="2" t="s">
        <v>20</v>
      </c>
    </row>
    <row r="546" spans="1:13" x14ac:dyDescent="0.35">
      <c r="A546" s="2">
        <v>10099</v>
      </c>
      <c r="B546" s="2" t="s">
        <v>215</v>
      </c>
      <c r="C546" s="2" t="s">
        <v>354</v>
      </c>
      <c r="D546" s="2" t="s">
        <v>23</v>
      </c>
      <c r="E546" s="2" t="s">
        <v>11</v>
      </c>
      <c r="F546" s="2" t="s">
        <v>61</v>
      </c>
      <c r="G546" s="2">
        <v>1</v>
      </c>
      <c r="H546" s="9">
        <v>25000</v>
      </c>
      <c r="I546" s="9">
        <v>25000</v>
      </c>
      <c r="J546" s="21">
        <v>45991</v>
      </c>
      <c r="K546" s="7" t="s">
        <v>1009</v>
      </c>
      <c r="L546" s="2" t="s">
        <v>13</v>
      </c>
      <c r="M546" s="2" t="s">
        <v>31</v>
      </c>
    </row>
    <row r="547" spans="1:13" x14ac:dyDescent="0.35">
      <c r="A547" s="2">
        <v>10325</v>
      </c>
      <c r="B547" s="2" t="s">
        <v>596</v>
      </c>
      <c r="C547" s="2" t="s">
        <v>952</v>
      </c>
      <c r="D547" s="2" t="s">
        <v>86</v>
      </c>
      <c r="E547" s="2" t="s">
        <v>18</v>
      </c>
      <c r="F547" s="2" t="s">
        <v>52</v>
      </c>
      <c r="G547" s="2">
        <v>4</v>
      </c>
      <c r="H547" s="9">
        <v>15000</v>
      </c>
      <c r="I547" s="9">
        <v>60000</v>
      </c>
      <c r="J547" s="21">
        <v>45659</v>
      </c>
      <c r="K547" s="7" t="s">
        <v>1005</v>
      </c>
      <c r="L547" s="2" t="s">
        <v>36</v>
      </c>
      <c r="M547" s="2" t="s">
        <v>25</v>
      </c>
    </row>
    <row r="548" spans="1:13" x14ac:dyDescent="0.35">
      <c r="A548" s="2">
        <v>10473</v>
      </c>
      <c r="B548" s="2" t="s">
        <v>355</v>
      </c>
      <c r="C548" s="2" t="s">
        <v>953</v>
      </c>
      <c r="D548" s="2" t="s">
        <v>148</v>
      </c>
      <c r="E548" s="2" t="s">
        <v>15</v>
      </c>
      <c r="F548" s="2" t="s">
        <v>42</v>
      </c>
      <c r="G548" s="2">
        <v>8</v>
      </c>
      <c r="H548" s="9">
        <v>250000</v>
      </c>
      <c r="I548" s="9">
        <v>2000000</v>
      </c>
      <c r="J548" s="21">
        <v>45864</v>
      </c>
      <c r="K548" s="7" t="s">
        <v>1013</v>
      </c>
      <c r="L548" s="2" t="s">
        <v>24</v>
      </c>
      <c r="M548" s="2" t="s">
        <v>27</v>
      </c>
    </row>
    <row r="549" spans="1:13" x14ac:dyDescent="0.35">
      <c r="A549" s="2">
        <v>10132</v>
      </c>
      <c r="B549" s="2" t="s">
        <v>215</v>
      </c>
      <c r="C549" s="2" t="s">
        <v>356</v>
      </c>
      <c r="D549" s="2" t="s">
        <v>82</v>
      </c>
      <c r="E549" s="2" t="s">
        <v>15</v>
      </c>
      <c r="F549" s="2" t="s">
        <v>49</v>
      </c>
      <c r="G549" s="2">
        <v>3</v>
      </c>
      <c r="H549" s="9">
        <v>25000</v>
      </c>
      <c r="I549" s="9">
        <v>75000</v>
      </c>
      <c r="J549" s="21">
        <v>45947</v>
      </c>
      <c r="K549" s="7" t="s">
        <v>1014</v>
      </c>
      <c r="L549" s="2" t="s">
        <v>24</v>
      </c>
      <c r="M549" s="2" t="s">
        <v>31</v>
      </c>
    </row>
    <row r="550" spans="1:13" x14ac:dyDescent="0.35">
      <c r="A550" s="2">
        <v>10424</v>
      </c>
      <c r="B550" s="2" t="s">
        <v>932</v>
      </c>
      <c r="C550" s="2" t="s">
        <v>954</v>
      </c>
      <c r="D550" s="2" t="s">
        <v>63</v>
      </c>
      <c r="E550" s="2" t="s">
        <v>34</v>
      </c>
      <c r="F550" s="2" t="s">
        <v>77</v>
      </c>
      <c r="G550" s="2">
        <v>10</v>
      </c>
      <c r="H550" s="9">
        <v>15000</v>
      </c>
      <c r="I550" s="9">
        <v>150000</v>
      </c>
      <c r="J550" s="21">
        <v>45777</v>
      </c>
      <c r="K550" s="7" t="s">
        <v>1012</v>
      </c>
      <c r="L550" s="2" t="s">
        <v>24</v>
      </c>
      <c r="M550" s="2" t="s">
        <v>27</v>
      </c>
    </row>
    <row r="551" spans="1:13" x14ac:dyDescent="0.35">
      <c r="A551" s="2">
        <v>10019</v>
      </c>
      <c r="B551" s="2" t="s">
        <v>75</v>
      </c>
      <c r="C551" s="2" t="s">
        <v>436</v>
      </c>
      <c r="D551" s="2" t="s">
        <v>59</v>
      </c>
      <c r="E551" s="2" t="s">
        <v>18</v>
      </c>
      <c r="F551" s="2" t="s">
        <v>26</v>
      </c>
      <c r="G551" s="2">
        <v>2</v>
      </c>
      <c r="H551" s="9">
        <v>99000</v>
      </c>
      <c r="I551" s="9">
        <v>198000</v>
      </c>
      <c r="J551" s="21">
        <v>45953</v>
      </c>
      <c r="K551" s="7" t="s">
        <v>1014</v>
      </c>
      <c r="L551" s="2" t="s">
        <v>36</v>
      </c>
      <c r="M551" s="2" t="s">
        <v>25</v>
      </c>
    </row>
    <row r="552" spans="1:13" x14ac:dyDescent="0.35">
      <c r="A552" s="2">
        <v>10212</v>
      </c>
      <c r="B552" s="2" t="s">
        <v>955</v>
      </c>
      <c r="C552" s="2" t="s">
        <v>956</v>
      </c>
      <c r="D552" s="2" t="s">
        <v>63</v>
      </c>
      <c r="E552" s="2" t="s">
        <v>11</v>
      </c>
      <c r="F552" s="2" t="s">
        <v>61</v>
      </c>
      <c r="G552" s="2">
        <v>8</v>
      </c>
      <c r="H552" s="9">
        <v>120000</v>
      </c>
      <c r="I552" s="9">
        <v>960000</v>
      </c>
      <c r="J552" s="21">
        <v>45819</v>
      </c>
      <c r="K552" s="7" t="s">
        <v>1007</v>
      </c>
      <c r="L552" s="2" t="s">
        <v>24</v>
      </c>
      <c r="M552" s="2" t="s">
        <v>27</v>
      </c>
    </row>
    <row r="553" spans="1:13" x14ac:dyDescent="0.35">
      <c r="A553" s="2">
        <v>10416</v>
      </c>
      <c r="B553" s="2" t="s">
        <v>957</v>
      </c>
      <c r="C553" s="2" t="s">
        <v>357</v>
      </c>
      <c r="D553" s="2" t="s">
        <v>82</v>
      </c>
      <c r="E553" s="2" t="s">
        <v>29</v>
      </c>
      <c r="F553" s="2" t="s">
        <v>81</v>
      </c>
      <c r="G553" s="2">
        <v>5</v>
      </c>
      <c r="H553" s="9">
        <v>250000</v>
      </c>
      <c r="I553" s="9">
        <v>1250000</v>
      </c>
      <c r="J553" s="21">
        <v>45891</v>
      </c>
      <c r="K553" s="7" t="s">
        <v>1008</v>
      </c>
      <c r="L553" s="2" t="s">
        <v>17</v>
      </c>
      <c r="M553" s="2" t="s">
        <v>25</v>
      </c>
    </row>
    <row r="554" spans="1:13" x14ac:dyDescent="0.35">
      <c r="A554" s="2">
        <v>10005</v>
      </c>
      <c r="B554" s="2" t="s">
        <v>152</v>
      </c>
      <c r="C554" s="2" t="s">
        <v>958</v>
      </c>
      <c r="D554" s="2" t="s">
        <v>46</v>
      </c>
      <c r="E554" s="2" t="s">
        <v>15</v>
      </c>
      <c r="F554" s="2" t="s">
        <v>49</v>
      </c>
      <c r="G554" s="2">
        <v>10</v>
      </c>
      <c r="H554" s="9">
        <v>120000</v>
      </c>
      <c r="I554" s="9">
        <v>1200000</v>
      </c>
      <c r="J554" s="21">
        <v>45928</v>
      </c>
      <c r="K554" s="7" t="s">
        <v>1015</v>
      </c>
      <c r="L554" s="2" t="s">
        <v>17</v>
      </c>
      <c r="M554" s="2" t="s">
        <v>27</v>
      </c>
    </row>
    <row r="555" spans="1:13" x14ac:dyDescent="0.35">
      <c r="A555" s="2">
        <v>10279</v>
      </c>
      <c r="B555" s="2" t="s">
        <v>959</v>
      </c>
      <c r="C555" s="2" t="s">
        <v>960</v>
      </c>
      <c r="D555" s="2" t="s">
        <v>63</v>
      </c>
      <c r="E555" s="2" t="s">
        <v>18</v>
      </c>
      <c r="F555" s="2" t="s">
        <v>70</v>
      </c>
      <c r="G555" s="2">
        <v>5</v>
      </c>
      <c r="H555" s="9">
        <v>35000</v>
      </c>
      <c r="I555" s="9">
        <v>175000</v>
      </c>
      <c r="J555" s="21">
        <v>46018</v>
      </c>
      <c r="K555" s="7" t="s">
        <v>1010</v>
      </c>
      <c r="L555" s="2" t="s">
        <v>17</v>
      </c>
      <c r="M555" s="2" t="s">
        <v>27</v>
      </c>
    </row>
    <row r="556" spans="1:13" x14ac:dyDescent="0.35">
      <c r="A556" s="2">
        <v>10291</v>
      </c>
      <c r="B556" s="2" t="s">
        <v>961</v>
      </c>
      <c r="C556" s="2" t="s">
        <v>358</v>
      </c>
      <c r="D556" s="2" t="s">
        <v>66</v>
      </c>
      <c r="E556" s="2" t="s">
        <v>11</v>
      </c>
      <c r="F556" s="2" t="s">
        <v>39</v>
      </c>
      <c r="G556" s="2">
        <v>1</v>
      </c>
      <c r="H556" s="9">
        <v>50000</v>
      </c>
      <c r="I556" s="9">
        <v>50000</v>
      </c>
      <c r="J556" s="21">
        <v>45906</v>
      </c>
      <c r="K556" s="7" t="s">
        <v>1015</v>
      </c>
      <c r="L556" s="2" t="s">
        <v>24</v>
      </c>
      <c r="M556" s="2" t="s">
        <v>31</v>
      </c>
    </row>
    <row r="557" spans="1:13" x14ac:dyDescent="0.35">
      <c r="A557" s="2">
        <v>10185</v>
      </c>
      <c r="B557" s="2" t="s">
        <v>359</v>
      </c>
      <c r="C557" s="2" t="s">
        <v>962</v>
      </c>
      <c r="D557" s="2" t="s">
        <v>86</v>
      </c>
      <c r="E557" s="2" t="s">
        <v>11</v>
      </c>
      <c r="F557" s="2" t="s">
        <v>71</v>
      </c>
      <c r="G557" s="2">
        <v>2</v>
      </c>
      <c r="H557" s="9">
        <v>25000</v>
      </c>
      <c r="I557" s="9">
        <v>50000</v>
      </c>
      <c r="J557" s="21">
        <v>45681</v>
      </c>
      <c r="K557" s="7" t="s">
        <v>1005</v>
      </c>
      <c r="L557" s="2" t="s">
        <v>24</v>
      </c>
      <c r="M557" s="2" t="s">
        <v>31</v>
      </c>
    </row>
    <row r="558" spans="1:13" x14ac:dyDescent="0.35">
      <c r="A558" s="2">
        <v>10408</v>
      </c>
      <c r="B558" s="2" t="s">
        <v>527</v>
      </c>
      <c r="C558" s="2" t="s">
        <v>963</v>
      </c>
      <c r="D558" s="2" t="s">
        <v>33</v>
      </c>
      <c r="E558" s="2" t="s">
        <v>15</v>
      </c>
      <c r="F558" s="2" t="s">
        <v>55</v>
      </c>
      <c r="G558" s="2">
        <v>6</v>
      </c>
      <c r="H558" s="9">
        <v>45000</v>
      </c>
      <c r="I558" s="9">
        <v>270000</v>
      </c>
      <c r="J558" s="21">
        <v>45956</v>
      </c>
      <c r="K558" s="7" t="s">
        <v>1014</v>
      </c>
      <c r="L558" s="2" t="s">
        <v>24</v>
      </c>
      <c r="M558" s="2" t="s">
        <v>20</v>
      </c>
    </row>
    <row r="559" spans="1:13" x14ac:dyDescent="0.35">
      <c r="A559" s="2">
        <v>10046</v>
      </c>
      <c r="B559" s="2" t="s">
        <v>360</v>
      </c>
      <c r="C559" s="2" t="s">
        <v>964</v>
      </c>
      <c r="D559" s="2" t="s">
        <v>148</v>
      </c>
      <c r="E559" s="2" t="s">
        <v>34</v>
      </c>
      <c r="F559" s="2" t="s">
        <v>35</v>
      </c>
      <c r="G559" s="2">
        <v>8</v>
      </c>
      <c r="H559" s="9">
        <v>50000</v>
      </c>
      <c r="I559" s="9">
        <v>400000</v>
      </c>
      <c r="J559" s="21">
        <v>45831</v>
      </c>
      <c r="K559" s="7" t="s">
        <v>1007</v>
      </c>
      <c r="L559" s="2" t="s">
        <v>13</v>
      </c>
      <c r="M559" s="2" t="s">
        <v>20</v>
      </c>
    </row>
    <row r="560" spans="1:13" x14ac:dyDescent="0.35">
      <c r="A560" s="2">
        <v>10513</v>
      </c>
      <c r="B560" s="2" t="s">
        <v>361</v>
      </c>
      <c r="C560" s="2" t="s">
        <v>362</v>
      </c>
      <c r="D560" s="2" t="s">
        <v>66</v>
      </c>
      <c r="E560" s="2" t="s">
        <v>29</v>
      </c>
      <c r="F560" s="2" t="s">
        <v>64</v>
      </c>
      <c r="G560" s="2">
        <v>6</v>
      </c>
      <c r="H560" s="9">
        <v>199000</v>
      </c>
      <c r="I560" s="9">
        <v>1194000</v>
      </c>
      <c r="J560" s="21">
        <v>45852</v>
      </c>
      <c r="K560" s="7" t="s">
        <v>1013</v>
      </c>
      <c r="L560" s="2" t="s">
        <v>17</v>
      </c>
      <c r="M560" s="2" t="s">
        <v>31</v>
      </c>
    </row>
    <row r="561" spans="1:13" x14ac:dyDescent="0.35">
      <c r="A561" s="2">
        <v>10283</v>
      </c>
      <c r="B561" s="2" t="s">
        <v>965</v>
      </c>
      <c r="C561" s="2" t="s">
        <v>363</v>
      </c>
      <c r="D561" s="2" t="s">
        <v>23</v>
      </c>
      <c r="E561" s="2" t="s">
        <v>18</v>
      </c>
      <c r="F561" s="2" t="s">
        <v>52</v>
      </c>
      <c r="G561" s="2">
        <v>7</v>
      </c>
      <c r="H561" s="9">
        <v>199000</v>
      </c>
      <c r="I561" s="9">
        <v>1393000</v>
      </c>
      <c r="J561" s="21">
        <v>45833</v>
      </c>
      <c r="K561" s="7" t="s">
        <v>1007</v>
      </c>
      <c r="L561" s="2" t="s">
        <v>13</v>
      </c>
      <c r="M561" s="2" t="s">
        <v>31</v>
      </c>
    </row>
    <row r="562" spans="1:13" x14ac:dyDescent="0.35">
      <c r="A562" s="2">
        <v>10190</v>
      </c>
      <c r="B562" s="2" t="s">
        <v>364</v>
      </c>
      <c r="C562" s="2" t="s">
        <v>966</v>
      </c>
      <c r="D562" s="2" t="s">
        <v>82</v>
      </c>
      <c r="E562" s="2" t="s">
        <v>11</v>
      </c>
      <c r="F562" s="2" t="s">
        <v>12</v>
      </c>
      <c r="G562" s="2">
        <v>8</v>
      </c>
      <c r="H562" s="9">
        <v>250000</v>
      </c>
      <c r="I562" s="9">
        <v>2000000</v>
      </c>
      <c r="J562" s="21">
        <v>45667</v>
      </c>
      <c r="K562" s="7" t="s">
        <v>1005</v>
      </c>
      <c r="L562" s="2" t="s">
        <v>24</v>
      </c>
      <c r="M562" s="2" t="s">
        <v>20</v>
      </c>
    </row>
    <row r="563" spans="1:13" x14ac:dyDescent="0.35">
      <c r="A563" s="2">
        <v>10447</v>
      </c>
      <c r="B563" s="2" t="s">
        <v>519</v>
      </c>
      <c r="C563" s="2" t="s">
        <v>365</v>
      </c>
      <c r="D563" s="2" t="s">
        <v>117</v>
      </c>
      <c r="E563" s="2" t="s">
        <v>18</v>
      </c>
      <c r="F563" s="2" t="s">
        <v>19</v>
      </c>
      <c r="G563" s="2">
        <v>2</v>
      </c>
      <c r="H563" s="9">
        <v>75000</v>
      </c>
      <c r="I563" s="9">
        <v>150000</v>
      </c>
      <c r="J563" s="21">
        <v>45690</v>
      </c>
      <c r="K563" s="7" t="s">
        <v>1011</v>
      </c>
      <c r="L563" s="2" t="s">
        <v>13</v>
      </c>
      <c r="M563" s="2" t="s">
        <v>31</v>
      </c>
    </row>
    <row r="564" spans="1:13" x14ac:dyDescent="0.35">
      <c r="A564" s="2">
        <v>10220</v>
      </c>
      <c r="B564" s="2" t="s">
        <v>492</v>
      </c>
      <c r="C564" s="2" t="s">
        <v>436</v>
      </c>
      <c r="D564" s="2" t="s">
        <v>117</v>
      </c>
      <c r="E564" s="2" t="s">
        <v>29</v>
      </c>
      <c r="F564" s="2" t="s">
        <v>81</v>
      </c>
      <c r="G564" s="2">
        <v>3</v>
      </c>
      <c r="H564" s="9">
        <v>120000</v>
      </c>
      <c r="I564" s="9">
        <v>360000</v>
      </c>
      <c r="J564" s="21">
        <v>45965</v>
      </c>
      <c r="K564" s="7" t="s">
        <v>1009</v>
      </c>
      <c r="L564" s="2" t="s">
        <v>40</v>
      </c>
      <c r="M564" s="2" t="s">
        <v>14</v>
      </c>
    </row>
    <row r="565" spans="1:13" x14ac:dyDescent="0.35">
      <c r="A565" s="2">
        <v>10587</v>
      </c>
      <c r="B565" s="2" t="s">
        <v>898</v>
      </c>
      <c r="C565" s="2" t="s">
        <v>436</v>
      </c>
      <c r="D565" s="2" t="s">
        <v>46</v>
      </c>
      <c r="E565" s="2" t="s">
        <v>11</v>
      </c>
      <c r="F565" s="2" t="s">
        <v>39</v>
      </c>
      <c r="G565" s="2">
        <v>1</v>
      </c>
      <c r="H565" s="9">
        <v>250000</v>
      </c>
      <c r="I565" s="9">
        <v>250000</v>
      </c>
      <c r="J565" s="21">
        <v>45864</v>
      </c>
      <c r="K565" s="7" t="s">
        <v>1013</v>
      </c>
      <c r="L565" s="2" t="s">
        <v>40</v>
      </c>
      <c r="M565" s="2" t="s">
        <v>14</v>
      </c>
    </row>
    <row r="566" spans="1:13" x14ac:dyDescent="0.35">
      <c r="A566" s="2">
        <v>10383</v>
      </c>
      <c r="B566" s="2" t="s">
        <v>366</v>
      </c>
      <c r="C566" s="2" t="s">
        <v>367</v>
      </c>
      <c r="D566" s="2" t="s">
        <v>117</v>
      </c>
      <c r="E566" s="2" t="s">
        <v>18</v>
      </c>
      <c r="F566" s="2" t="s">
        <v>70</v>
      </c>
      <c r="G566" s="2">
        <v>10</v>
      </c>
      <c r="H566" s="9">
        <v>120000</v>
      </c>
      <c r="I566" s="9">
        <v>1200000</v>
      </c>
      <c r="J566" s="21">
        <v>45830</v>
      </c>
      <c r="K566" s="7" t="s">
        <v>1007</v>
      </c>
      <c r="L566" s="2" t="s">
        <v>40</v>
      </c>
      <c r="M566" s="2" t="s">
        <v>20</v>
      </c>
    </row>
    <row r="567" spans="1:13" x14ac:dyDescent="0.35">
      <c r="A567" s="2">
        <v>10050</v>
      </c>
      <c r="B567" s="2" t="s">
        <v>778</v>
      </c>
      <c r="C567" s="2" t="s">
        <v>967</v>
      </c>
      <c r="D567" s="2" t="s">
        <v>23</v>
      </c>
      <c r="E567" s="2" t="s">
        <v>11</v>
      </c>
      <c r="F567" s="2" t="s">
        <v>50</v>
      </c>
      <c r="G567" s="2">
        <v>2</v>
      </c>
      <c r="H567" s="9">
        <v>250000</v>
      </c>
      <c r="I567" s="9">
        <v>500000</v>
      </c>
      <c r="J567" s="21">
        <v>45988</v>
      </c>
      <c r="K567" s="7" t="s">
        <v>1009</v>
      </c>
      <c r="L567" s="2" t="s">
        <v>24</v>
      </c>
      <c r="M567" s="2" t="s">
        <v>25</v>
      </c>
    </row>
    <row r="568" spans="1:13" x14ac:dyDescent="0.35">
      <c r="A568" s="2">
        <v>10552</v>
      </c>
      <c r="B568" s="2" t="s">
        <v>968</v>
      </c>
      <c r="C568" s="2" t="s">
        <v>368</v>
      </c>
      <c r="D568" s="2" t="s">
        <v>63</v>
      </c>
      <c r="E568" s="2" t="s">
        <v>18</v>
      </c>
      <c r="F568" s="2" t="s">
        <v>70</v>
      </c>
      <c r="G568" s="2">
        <v>1</v>
      </c>
      <c r="H568" s="9">
        <v>150000</v>
      </c>
      <c r="I568" s="9">
        <v>150000</v>
      </c>
      <c r="J568" s="21">
        <v>45774</v>
      </c>
      <c r="K568" s="7" t="s">
        <v>1012</v>
      </c>
      <c r="L568" s="2" t="s">
        <v>24</v>
      </c>
      <c r="M568" s="2" t="s">
        <v>25</v>
      </c>
    </row>
    <row r="569" spans="1:13" x14ac:dyDescent="0.35">
      <c r="A569" s="2">
        <v>10526</v>
      </c>
      <c r="B569" s="2" t="s">
        <v>969</v>
      </c>
      <c r="C569" s="2" t="s">
        <v>970</v>
      </c>
      <c r="D569" s="2" t="s">
        <v>63</v>
      </c>
      <c r="E569" s="2" t="s">
        <v>29</v>
      </c>
      <c r="F569" s="2" t="s">
        <v>64</v>
      </c>
      <c r="G569" s="2">
        <v>3</v>
      </c>
      <c r="H569" s="9">
        <v>45000</v>
      </c>
      <c r="I569" s="9">
        <v>135000</v>
      </c>
      <c r="J569" s="21">
        <v>45879</v>
      </c>
      <c r="K569" s="7" t="s">
        <v>1008</v>
      </c>
      <c r="L569" s="2" t="s">
        <v>13</v>
      </c>
      <c r="M569" s="2" t="s">
        <v>14</v>
      </c>
    </row>
    <row r="570" spans="1:13" x14ac:dyDescent="0.35">
      <c r="A570" s="2">
        <v>10310</v>
      </c>
      <c r="B570" s="2" t="s">
        <v>519</v>
      </c>
      <c r="C570" s="2" t="s">
        <v>971</v>
      </c>
      <c r="D570" s="2" t="s">
        <v>148</v>
      </c>
      <c r="E570" s="2" t="s">
        <v>34</v>
      </c>
      <c r="F570" s="2" t="s">
        <v>45</v>
      </c>
      <c r="G570" s="2">
        <v>5</v>
      </c>
      <c r="H570" s="9">
        <v>45000</v>
      </c>
      <c r="I570" s="9">
        <v>225000</v>
      </c>
      <c r="J570" s="21">
        <v>45829</v>
      </c>
      <c r="K570" s="7" t="s">
        <v>1007</v>
      </c>
      <c r="L570" s="2" t="s">
        <v>36</v>
      </c>
      <c r="M570" s="2" t="s">
        <v>14</v>
      </c>
    </row>
    <row r="571" spans="1:13" x14ac:dyDescent="0.35">
      <c r="A571" s="2">
        <v>10267</v>
      </c>
      <c r="B571" s="2" t="s">
        <v>369</v>
      </c>
      <c r="C571" s="2" t="s">
        <v>972</v>
      </c>
      <c r="D571" s="2" t="s">
        <v>33</v>
      </c>
      <c r="E571" s="2" t="s">
        <v>15</v>
      </c>
      <c r="F571" s="2" t="s">
        <v>73</v>
      </c>
      <c r="G571" s="2">
        <v>2</v>
      </c>
      <c r="H571" s="9">
        <v>150000</v>
      </c>
      <c r="I571" s="9">
        <v>300000</v>
      </c>
      <c r="J571" s="21">
        <v>46020</v>
      </c>
      <c r="K571" s="7" t="s">
        <v>1010</v>
      </c>
      <c r="L571" s="2" t="s">
        <v>40</v>
      </c>
      <c r="M571" s="2" t="s">
        <v>27</v>
      </c>
    </row>
    <row r="572" spans="1:13" x14ac:dyDescent="0.35">
      <c r="A572" s="2">
        <v>10584</v>
      </c>
      <c r="B572" s="2" t="s">
        <v>512</v>
      </c>
      <c r="C572" s="2" t="s">
        <v>973</v>
      </c>
      <c r="D572" s="2" t="s">
        <v>148</v>
      </c>
      <c r="E572" s="2" t="s">
        <v>11</v>
      </c>
      <c r="F572" s="2" t="s">
        <v>71</v>
      </c>
      <c r="G572" s="2">
        <v>6</v>
      </c>
      <c r="H572" s="9">
        <v>99000</v>
      </c>
      <c r="I572" s="9">
        <v>594000</v>
      </c>
      <c r="J572" s="21">
        <v>45767</v>
      </c>
      <c r="K572" s="7" t="s">
        <v>1012</v>
      </c>
      <c r="L572" s="2" t="s">
        <v>13</v>
      </c>
      <c r="M572" s="2" t="s">
        <v>27</v>
      </c>
    </row>
    <row r="573" spans="1:13" x14ac:dyDescent="0.35">
      <c r="A573" s="2">
        <v>10196</v>
      </c>
      <c r="B573" s="2" t="s">
        <v>475</v>
      </c>
      <c r="C573" s="2" t="s">
        <v>974</v>
      </c>
      <c r="D573" s="2" t="s">
        <v>86</v>
      </c>
      <c r="E573" s="2" t="s">
        <v>29</v>
      </c>
      <c r="F573" s="2" t="s">
        <v>64</v>
      </c>
      <c r="G573" s="2">
        <v>4</v>
      </c>
      <c r="H573" s="9">
        <v>150000</v>
      </c>
      <c r="I573" s="9">
        <v>600000</v>
      </c>
      <c r="J573" s="21">
        <v>45674</v>
      </c>
      <c r="K573" s="7" t="s">
        <v>1005</v>
      </c>
      <c r="L573" s="2" t="s">
        <v>17</v>
      </c>
      <c r="M573" s="2" t="s">
        <v>20</v>
      </c>
    </row>
    <row r="574" spans="1:13" x14ac:dyDescent="0.35">
      <c r="A574" s="2">
        <v>10119</v>
      </c>
      <c r="B574" s="2" t="s">
        <v>181</v>
      </c>
      <c r="C574" s="2" t="s">
        <v>975</v>
      </c>
      <c r="D574" s="2" t="s">
        <v>66</v>
      </c>
      <c r="E574" s="2" t="s">
        <v>11</v>
      </c>
      <c r="F574" s="2" t="s">
        <v>71</v>
      </c>
      <c r="G574" s="2">
        <v>8</v>
      </c>
      <c r="H574" s="9">
        <v>45000</v>
      </c>
      <c r="I574" s="9">
        <v>360000</v>
      </c>
      <c r="J574" s="21">
        <v>45840</v>
      </c>
      <c r="K574" s="7" t="s">
        <v>1013</v>
      </c>
      <c r="L574" s="2" t="s">
        <v>13</v>
      </c>
      <c r="M574" s="2" t="s">
        <v>20</v>
      </c>
    </row>
    <row r="575" spans="1:13" x14ac:dyDescent="0.35">
      <c r="A575" s="2">
        <v>10443</v>
      </c>
      <c r="B575" s="2" t="s">
        <v>466</v>
      </c>
      <c r="C575" s="2" t="s">
        <v>976</v>
      </c>
      <c r="D575" s="2" t="s">
        <v>66</v>
      </c>
      <c r="E575" s="2" t="s">
        <v>15</v>
      </c>
      <c r="F575" s="2" t="s">
        <v>49</v>
      </c>
      <c r="G575" s="2">
        <v>5</v>
      </c>
      <c r="H575" s="9">
        <v>250000</v>
      </c>
      <c r="I575" s="9">
        <v>1250000</v>
      </c>
      <c r="J575" s="21">
        <v>45739</v>
      </c>
      <c r="K575" s="7" t="s">
        <v>1016</v>
      </c>
      <c r="L575" s="2" t="s">
        <v>24</v>
      </c>
      <c r="M575" s="2" t="s">
        <v>27</v>
      </c>
    </row>
    <row r="576" spans="1:13" x14ac:dyDescent="0.35">
      <c r="A576" s="2">
        <v>10263</v>
      </c>
      <c r="B576" s="2" t="s">
        <v>366</v>
      </c>
      <c r="C576" s="2" t="s">
        <v>977</v>
      </c>
      <c r="D576" s="2" t="s">
        <v>148</v>
      </c>
      <c r="E576" s="2" t="s">
        <v>18</v>
      </c>
      <c r="F576" s="2" t="s">
        <v>52</v>
      </c>
      <c r="G576" s="2">
        <v>6</v>
      </c>
      <c r="H576" s="9">
        <v>35000</v>
      </c>
      <c r="I576" s="9">
        <v>210000</v>
      </c>
      <c r="J576" s="21">
        <v>45856</v>
      </c>
      <c r="K576" s="7" t="s">
        <v>1013</v>
      </c>
      <c r="L576" s="2" t="s">
        <v>40</v>
      </c>
      <c r="M576" s="2" t="s">
        <v>20</v>
      </c>
    </row>
    <row r="577" spans="1:13" x14ac:dyDescent="0.35">
      <c r="A577" s="2">
        <v>10188</v>
      </c>
      <c r="B577" s="2" t="s">
        <v>122</v>
      </c>
      <c r="C577" s="2" t="s">
        <v>436</v>
      </c>
      <c r="D577" s="2" t="s">
        <v>63</v>
      </c>
      <c r="E577" s="2" t="s">
        <v>29</v>
      </c>
      <c r="F577" s="2" t="s">
        <v>81</v>
      </c>
      <c r="G577" s="2">
        <v>3</v>
      </c>
      <c r="H577" s="9">
        <v>150000</v>
      </c>
      <c r="I577" s="9">
        <v>450000</v>
      </c>
      <c r="J577" s="21">
        <v>45898</v>
      </c>
      <c r="K577" s="7" t="s">
        <v>1008</v>
      </c>
      <c r="L577" s="2" t="s">
        <v>40</v>
      </c>
      <c r="M577" s="2" t="s">
        <v>31</v>
      </c>
    </row>
    <row r="578" spans="1:13" x14ac:dyDescent="0.35">
      <c r="A578" s="2">
        <v>10022</v>
      </c>
      <c r="B578" s="2" t="s">
        <v>849</v>
      </c>
      <c r="C578" s="2" t="s">
        <v>978</v>
      </c>
      <c r="D578" s="2" t="s">
        <v>23</v>
      </c>
      <c r="E578" s="2" t="s">
        <v>34</v>
      </c>
      <c r="F578" s="2" t="s">
        <v>35</v>
      </c>
      <c r="G578" s="2">
        <v>1</v>
      </c>
      <c r="H578" s="9">
        <v>45000</v>
      </c>
      <c r="I578" s="9">
        <v>45000</v>
      </c>
      <c r="J578" s="21">
        <v>45901</v>
      </c>
      <c r="K578" s="7" t="s">
        <v>1015</v>
      </c>
      <c r="L578" s="2" t="s">
        <v>13</v>
      </c>
      <c r="M578" s="2" t="s">
        <v>14</v>
      </c>
    </row>
    <row r="579" spans="1:13" x14ac:dyDescent="0.35">
      <c r="A579" s="2">
        <v>10410</v>
      </c>
      <c r="B579" s="2" t="s">
        <v>692</v>
      </c>
      <c r="C579" s="2" t="s">
        <v>979</v>
      </c>
      <c r="D579" s="2" t="s">
        <v>86</v>
      </c>
      <c r="E579" s="2" t="s">
        <v>11</v>
      </c>
      <c r="F579" s="2" t="s">
        <v>50</v>
      </c>
      <c r="G579" s="2">
        <v>10</v>
      </c>
      <c r="H579" s="9">
        <v>35000</v>
      </c>
      <c r="I579" s="9">
        <v>350000</v>
      </c>
      <c r="J579" s="21">
        <v>45936</v>
      </c>
      <c r="K579" s="7" t="s">
        <v>1014</v>
      </c>
      <c r="L579" s="2" t="s">
        <v>17</v>
      </c>
      <c r="M579" s="2" t="s">
        <v>14</v>
      </c>
    </row>
    <row r="580" spans="1:13" x14ac:dyDescent="0.35">
      <c r="A580" s="2">
        <v>10432</v>
      </c>
      <c r="B580" s="2" t="s">
        <v>965</v>
      </c>
      <c r="C580" s="2" t="s">
        <v>980</v>
      </c>
      <c r="D580" s="2" t="s">
        <v>23</v>
      </c>
      <c r="E580" s="2" t="s">
        <v>34</v>
      </c>
      <c r="F580" s="2" t="s">
        <v>47</v>
      </c>
      <c r="G580" s="2">
        <v>5</v>
      </c>
      <c r="H580" s="9">
        <v>50000</v>
      </c>
      <c r="I580" s="9">
        <v>250000</v>
      </c>
      <c r="J580" s="21">
        <v>45914</v>
      </c>
      <c r="K580" s="7" t="s">
        <v>1015</v>
      </c>
      <c r="L580" s="2" t="s">
        <v>13</v>
      </c>
      <c r="M580" s="2" t="s">
        <v>20</v>
      </c>
    </row>
    <row r="581" spans="1:13" x14ac:dyDescent="0.35">
      <c r="A581" s="2">
        <v>10309</v>
      </c>
      <c r="B581" s="2" t="s">
        <v>981</v>
      </c>
      <c r="C581" s="2" t="s">
        <v>370</v>
      </c>
      <c r="D581" s="2" t="s">
        <v>59</v>
      </c>
      <c r="E581" s="2" t="s">
        <v>29</v>
      </c>
      <c r="F581" s="2" t="s">
        <v>64</v>
      </c>
      <c r="G581" s="2">
        <v>4</v>
      </c>
      <c r="H581" s="9">
        <v>25000</v>
      </c>
      <c r="I581" s="9">
        <v>100000</v>
      </c>
      <c r="J581" s="21">
        <v>45779</v>
      </c>
      <c r="K581" s="7" t="s">
        <v>1006</v>
      </c>
      <c r="L581" s="2" t="s">
        <v>40</v>
      </c>
      <c r="M581" s="2" t="s">
        <v>31</v>
      </c>
    </row>
    <row r="582" spans="1:13" x14ac:dyDescent="0.35">
      <c r="A582" s="2">
        <v>10080</v>
      </c>
      <c r="B582" s="2" t="s">
        <v>444</v>
      </c>
      <c r="C582" s="2" t="s">
        <v>982</v>
      </c>
      <c r="D582" s="2" t="s">
        <v>117</v>
      </c>
      <c r="E582" s="2" t="s">
        <v>15</v>
      </c>
      <c r="F582" s="2" t="s">
        <v>49</v>
      </c>
      <c r="G582" s="2">
        <v>6</v>
      </c>
      <c r="H582" s="9">
        <v>35000</v>
      </c>
      <c r="I582" s="9">
        <v>210000</v>
      </c>
      <c r="J582" s="21">
        <v>46000</v>
      </c>
      <c r="K582" s="7" t="s">
        <v>1010</v>
      </c>
      <c r="L582" s="2" t="s">
        <v>40</v>
      </c>
      <c r="M582" s="2" t="s">
        <v>25</v>
      </c>
    </row>
    <row r="583" spans="1:13" x14ac:dyDescent="0.35">
      <c r="A583" s="2">
        <v>10524</v>
      </c>
      <c r="B583" s="2" t="s">
        <v>672</v>
      </c>
      <c r="C583" s="2" t="s">
        <v>371</v>
      </c>
      <c r="D583" s="2" t="s">
        <v>86</v>
      </c>
      <c r="E583" s="2" t="s">
        <v>29</v>
      </c>
      <c r="F583" s="2" t="s">
        <v>41</v>
      </c>
      <c r="G583" s="2">
        <v>9</v>
      </c>
      <c r="H583" s="9">
        <v>75000</v>
      </c>
      <c r="I583" s="9">
        <v>675000</v>
      </c>
      <c r="J583" s="21">
        <v>45941</v>
      </c>
      <c r="K583" s="7" t="s">
        <v>1014</v>
      </c>
      <c r="L583" s="2" t="s">
        <v>24</v>
      </c>
      <c r="M583" s="2" t="s">
        <v>20</v>
      </c>
    </row>
    <row r="584" spans="1:13" x14ac:dyDescent="0.35">
      <c r="A584" s="2">
        <v>10391</v>
      </c>
      <c r="B584" s="2" t="s">
        <v>450</v>
      </c>
      <c r="C584" s="2" t="s">
        <v>983</v>
      </c>
      <c r="D584" s="2" t="s">
        <v>86</v>
      </c>
      <c r="E584" s="2" t="s">
        <v>15</v>
      </c>
      <c r="F584" s="2" t="s">
        <v>73</v>
      </c>
      <c r="G584" s="2">
        <v>4</v>
      </c>
      <c r="H584" s="9">
        <v>250000</v>
      </c>
      <c r="I584" s="9">
        <v>1000000</v>
      </c>
      <c r="J584" s="21">
        <v>45822</v>
      </c>
      <c r="K584" s="7" t="s">
        <v>1007</v>
      </c>
      <c r="L584" s="2" t="s">
        <v>17</v>
      </c>
      <c r="M584" s="2" t="s">
        <v>31</v>
      </c>
    </row>
    <row r="585" spans="1:13" x14ac:dyDescent="0.35">
      <c r="A585" s="2">
        <v>10103</v>
      </c>
      <c r="B585" s="2" t="s">
        <v>984</v>
      </c>
      <c r="C585" s="2" t="s">
        <v>985</v>
      </c>
      <c r="D585" s="2" t="s">
        <v>23</v>
      </c>
      <c r="E585" s="2" t="s">
        <v>18</v>
      </c>
      <c r="F585" s="2" t="s">
        <v>57</v>
      </c>
      <c r="G585" s="2">
        <v>9</v>
      </c>
      <c r="H585" s="9">
        <v>120000</v>
      </c>
      <c r="I585" s="9">
        <v>1080000</v>
      </c>
      <c r="J585" s="21">
        <v>45928</v>
      </c>
      <c r="K585" s="7" t="s">
        <v>1015</v>
      </c>
      <c r="L585" s="2" t="s">
        <v>17</v>
      </c>
      <c r="M585" s="2" t="s">
        <v>14</v>
      </c>
    </row>
    <row r="586" spans="1:13" x14ac:dyDescent="0.35">
      <c r="A586" s="2">
        <v>10150</v>
      </c>
      <c r="B586" s="2" t="s">
        <v>986</v>
      </c>
      <c r="C586" s="2" t="s">
        <v>987</v>
      </c>
      <c r="D586" s="2" t="s">
        <v>33</v>
      </c>
      <c r="E586" s="2" t="s">
        <v>29</v>
      </c>
      <c r="F586" s="2" t="s">
        <v>41</v>
      </c>
      <c r="G586" s="2">
        <v>3</v>
      </c>
      <c r="H586" s="9">
        <v>250000</v>
      </c>
      <c r="I586" s="9">
        <v>750000</v>
      </c>
      <c r="J586" s="21">
        <v>45859</v>
      </c>
      <c r="K586" s="7" t="s">
        <v>1013</v>
      </c>
      <c r="L586" s="2" t="s">
        <v>24</v>
      </c>
      <c r="M586" s="2" t="s">
        <v>27</v>
      </c>
    </row>
    <row r="587" spans="1:13" x14ac:dyDescent="0.35">
      <c r="A587" s="2">
        <v>10039</v>
      </c>
      <c r="B587" s="2" t="s">
        <v>173</v>
      </c>
      <c r="C587" s="2" t="s">
        <v>372</v>
      </c>
      <c r="D587" s="2" t="s">
        <v>46</v>
      </c>
      <c r="E587" s="2" t="s">
        <v>15</v>
      </c>
      <c r="F587" s="2" t="s">
        <v>16</v>
      </c>
      <c r="G587" s="2">
        <v>8</v>
      </c>
      <c r="H587" s="9">
        <v>50000</v>
      </c>
      <c r="I587" s="9">
        <v>400000</v>
      </c>
      <c r="J587" s="21">
        <v>46016</v>
      </c>
      <c r="K587" s="7" t="s">
        <v>1010</v>
      </c>
      <c r="L587" s="2" t="s">
        <v>40</v>
      </c>
      <c r="M587" s="2" t="s">
        <v>25</v>
      </c>
    </row>
    <row r="588" spans="1:13" x14ac:dyDescent="0.35">
      <c r="A588" s="2">
        <v>10381</v>
      </c>
      <c r="B588" s="2" t="s">
        <v>575</v>
      </c>
      <c r="C588" s="2" t="s">
        <v>988</v>
      </c>
      <c r="D588" s="2" t="s">
        <v>82</v>
      </c>
      <c r="E588" s="2" t="s">
        <v>34</v>
      </c>
      <c r="F588" s="2" t="s">
        <v>77</v>
      </c>
      <c r="G588" s="2">
        <v>6</v>
      </c>
      <c r="H588" s="9">
        <v>25000</v>
      </c>
      <c r="I588" s="9">
        <v>150000</v>
      </c>
      <c r="J588" s="21">
        <v>45788</v>
      </c>
      <c r="K588" s="7" t="s">
        <v>1006</v>
      </c>
      <c r="L588" s="2" t="s">
        <v>40</v>
      </c>
      <c r="M588" s="2" t="s">
        <v>14</v>
      </c>
    </row>
    <row r="589" spans="1:13" x14ac:dyDescent="0.35">
      <c r="A589" s="2">
        <v>10334</v>
      </c>
      <c r="B589" s="2" t="s">
        <v>989</v>
      </c>
      <c r="C589" s="2" t="s">
        <v>373</v>
      </c>
      <c r="D589" s="2" t="s">
        <v>33</v>
      </c>
      <c r="E589" s="2" t="s">
        <v>11</v>
      </c>
      <c r="F589" s="2" t="s">
        <v>71</v>
      </c>
      <c r="G589" s="2">
        <v>10</v>
      </c>
      <c r="H589" s="9">
        <v>50000</v>
      </c>
      <c r="I589" s="9">
        <v>500000</v>
      </c>
      <c r="J589" s="21">
        <v>46009</v>
      </c>
      <c r="K589" s="7" t="s">
        <v>1010</v>
      </c>
      <c r="L589" s="2" t="s">
        <v>40</v>
      </c>
      <c r="M589" s="2" t="s">
        <v>31</v>
      </c>
    </row>
    <row r="590" spans="1:13" x14ac:dyDescent="0.35">
      <c r="A590" s="2">
        <v>10078</v>
      </c>
      <c r="B590" s="2" t="s">
        <v>242</v>
      </c>
      <c r="C590" s="2" t="s">
        <v>990</v>
      </c>
      <c r="D590" s="2" t="s">
        <v>86</v>
      </c>
      <c r="E590" s="2" t="s">
        <v>29</v>
      </c>
      <c r="F590" s="2" t="s">
        <v>64</v>
      </c>
      <c r="G590" s="2">
        <v>2</v>
      </c>
      <c r="H590" s="9">
        <v>75000</v>
      </c>
      <c r="I590" s="9">
        <v>150000</v>
      </c>
      <c r="J590" s="21">
        <v>45781</v>
      </c>
      <c r="K590" s="7" t="s">
        <v>1006</v>
      </c>
      <c r="L590" s="2" t="s">
        <v>24</v>
      </c>
      <c r="M590" s="2" t="s">
        <v>27</v>
      </c>
    </row>
    <row r="591" spans="1:13" x14ac:dyDescent="0.35">
      <c r="A591" s="2">
        <v>10041</v>
      </c>
      <c r="B591" s="2" t="s">
        <v>984</v>
      </c>
      <c r="C591" s="2" t="s">
        <v>991</v>
      </c>
      <c r="D591" s="2" t="s">
        <v>117</v>
      </c>
      <c r="E591" s="2" t="s">
        <v>29</v>
      </c>
      <c r="F591" s="2" t="s">
        <v>30</v>
      </c>
      <c r="G591" s="2">
        <v>2</v>
      </c>
      <c r="H591" s="9">
        <v>75000</v>
      </c>
      <c r="I591" s="9">
        <v>150000</v>
      </c>
      <c r="J591" s="21">
        <v>45787</v>
      </c>
      <c r="K591" s="7" t="s">
        <v>1006</v>
      </c>
      <c r="L591" s="2" t="s">
        <v>17</v>
      </c>
      <c r="M591" s="2" t="s">
        <v>14</v>
      </c>
    </row>
    <row r="592" spans="1:13" x14ac:dyDescent="0.35">
      <c r="A592" s="2">
        <v>10582</v>
      </c>
      <c r="B592" s="2" t="s">
        <v>437</v>
      </c>
      <c r="C592" s="2" t="s">
        <v>374</v>
      </c>
      <c r="D592" s="2" t="s">
        <v>33</v>
      </c>
      <c r="E592" s="2" t="s">
        <v>34</v>
      </c>
      <c r="F592" s="2" t="s">
        <v>37</v>
      </c>
      <c r="G592" s="2">
        <v>3</v>
      </c>
      <c r="H592" s="9">
        <v>120000</v>
      </c>
      <c r="I592" s="9">
        <v>360000</v>
      </c>
      <c r="J592" s="21">
        <v>45658</v>
      </c>
      <c r="K592" s="7" t="s">
        <v>1005</v>
      </c>
      <c r="L592" s="2" t="s">
        <v>17</v>
      </c>
      <c r="M592" s="2" t="s">
        <v>14</v>
      </c>
    </row>
    <row r="593" spans="1:13" x14ac:dyDescent="0.35">
      <c r="A593" s="2">
        <v>10536</v>
      </c>
      <c r="B593" s="2" t="s">
        <v>992</v>
      </c>
      <c r="C593" s="2" t="s">
        <v>436</v>
      </c>
      <c r="D593" s="2" t="s">
        <v>33</v>
      </c>
      <c r="E593" s="2" t="s">
        <v>15</v>
      </c>
      <c r="F593" s="2" t="s">
        <v>49</v>
      </c>
      <c r="G593" s="2">
        <v>2</v>
      </c>
      <c r="H593" s="9">
        <v>15000</v>
      </c>
      <c r="I593" s="9">
        <v>30000</v>
      </c>
      <c r="J593" s="21">
        <v>45941</v>
      </c>
      <c r="K593" s="7" t="s">
        <v>1014</v>
      </c>
      <c r="L593" s="2" t="s">
        <v>17</v>
      </c>
      <c r="M593" s="2" t="s">
        <v>14</v>
      </c>
    </row>
    <row r="594" spans="1:13" x14ac:dyDescent="0.35">
      <c r="A594" s="2">
        <v>10249</v>
      </c>
      <c r="B594" s="2" t="s">
        <v>442</v>
      </c>
      <c r="C594" s="2" t="s">
        <v>375</v>
      </c>
      <c r="D594" s="2" t="s">
        <v>23</v>
      </c>
      <c r="E594" s="2" t="s">
        <v>34</v>
      </c>
      <c r="F594" s="2" t="s">
        <v>77</v>
      </c>
      <c r="G594" s="2">
        <v>9</v>
      </c>
      <c r="H594" s="9">
        <v>99000</v>
      </c>
      <c r="I594" s="9">
        <v>891000</v>
      </c>
      <c r="J594" s="21">
        <v>45712</v>
      </c>
      <c r="K594" s="7" t="s">
        <v>1011</v>
      </c>
      <c r="L594" s="2" t="s">
        <v>13</v>
      </c>
      <c r="M594" s="2" t="s">
        <v>25</v>
      </c>
    </row>
    <row r="595" spans="1:13" x14ac:dyDescent="0.35">
      <c r="A595" s="2">
        <v>10469</v>
      </c>
      <c r="B595" s="2" t="s">
        <v>586</v>
      </c>
      <c r="C595" s="2" t="s">
        <v>993</v>
      </c>
      <c r="D595" s="2" t="s">
        <v>66</v>
      </c>
      <c r="E595" s="2" t="s">
        <v>18</v>
      </c>
      <c r="F595" s="2" t="s">
        <v>19</v>
      </c>
      <c r="G595" s="2">
        <v>10</v>
      </c>
      <c r="H595" s="9">
        <v>15000</v>
      </c>
      <c r="I595" s="9">
        <v>150000</v>
      </c>
      <c r="J595" s="21">
        <v>45920</v>
      </c>
      <c r="K595" s="7" t="s">
        <v>1015</v>
      </c>
      <c r="L595" s="2" t="s">
        <v>40</v>
      </c>
      <c r="M595" s="2" t="s">
        <v>27</v>
      </c>
    </row>
    <row r="596" spans="1:13" x14ac:dyDescent="0.35">
      <c r="A596" s="2">
        <v>10353</v>
      </c>
      <c r="B596" s="2" t="s">
        <v>376</v>
      </c>
      <c r="C596" s="2" t="s">
        <v>994</v>
      </c>
      <c r="D596" s="2" t="s">
        <v>82</v>
      </c>
      <c r="E596" s="2" t="s">
        <v>11</v>
      </c>
      <c r="F596" s="2" t="s">
        <v>50</v>
      </c>
      <c r="G596" s="2">
        <v>1</v>
      </c>
      <c r="H596" s="9">
        <v>99000</v>
      </c>
      <c r="I596" s="9">
        <v>99000</v>
      </c>
      <c r="J596" s="21">
        <v>45974</v>
      </c>
      <c r="K596" s="7" t="s">
        <v>1009</v>
      </c>
      <c r="L596" s="2" t="s">
        <v>40</v>
      </c>
      <c r="M596" s="2" t="s">
        <v>27</v>
      </c>
    </row>
    <row r="597" spans="1:13" x14ac:dyDescent="0.35">
      <c r="A597" s="2">
        <v>10281</v>
      </c>
      <c r="B597" s="2" t="s">
        <v>430</v>
      </c>
      <c r="C597" s="2" t="s">
        <v>995</v>
      </c>
      <c r="D597" s="2" t="s">
        <v>23</v>
      </c>
      <c r="E597" s="2" t="s">
        <v>34</v>
      </c>
      <c r="F597" s="2" t="s">
        <v>77</v>
      </c>
      <c r="G597" s="2">
        <v>5</v>
      </c>
      <c r="H597" s="9">
        <v>75000</v>
      </c>
      <c r="I597" s="9">
        <v>375000</v>
      </c>
      <c r="J597" s="21">
        <v>45858</v>
      </c>
      <c r="K597" s="7" t="s">
        <v>1013</v>
      </c>
      <c r="L597" s="2" t="s">
        <v>36</v>
      </c>
      <c r="M597" s="2" t="s">
        <v>25</v>
      </c>
    </row>
    <row r="598" spans="1:13" x14ac:dyDescent="0.35">
      <c r="A598" s="2">
        <v>10441</v>
      </c>
      <c r="B598" s="2" t="s">
        <v>125</v>
      </c>
      <c r="C598" s="2" t="s">
        <v>996</v>
      </c>
      <c r="D598" s="2" t="s">
        <v>66</v>
      </c>
      <c r="E598" s="2" t="s">
        <v>18</v>
      </c>
      <c r="F598" s="2" t="s">
        <v>19</v>
      </c>
      <c r="G598" s="2">
        <v>7</v>
      </c>
      <c r="H598" s="9">
        <v>99000</v>
      </c>
      <c r="I598" s="9">
        <v>693000</v>
      </c>
      <c r="J598" s="21">
        <v>45821</v>
      </c>
      <c r="K598" s="7" t="s">
        <v>1007</v>
      </c>
      <c r="L598" s="2" t="s">
        <v>17</v>
      </c>
      <c r="M598" s="2" t="s">
        <v>31</v>
      </c>
    </row>
    <row r="599" spans="1:13" x14ac:dyDescent="0.35">
      <c r="A599" s="2">
        <v>10505</v>
      </c>
      <c r="B599" s="2" t="s">
        <v>297</v>
      </c>
      <c r="C599" s="2" t="s">
        <v>997</v>
      </c>
      <c r="D599" s="2" t="s">
        <v>33</v>
      </c>
      <c r="E599" s="2" t="s">
        <v>34</v>
      </c>
      <c r="F599" s="2" t="s">
        <v>45</v>
      </c>
      <c r="G599" s="2">
        <v>5</v>
      </c>
      <c r="H599" s="9">
        <v>120000</v>
      </c>
      <c r="I599" s="9">
        <v>600000</v>
      </c>
      <c r="J599" s="21">
        <v>45760</v>
      </c>
      <c r="K599" s="7" t="s">
        <v>1012</v>
      </c>
      <c r="L599" s="2" t="s">
        <v>24</v>
      </c>
      <c r="M599" s="2" t="s">
        <v>25</v>
      </c>
    </row>
    <row r="600" spans="1:13" x14ac:dyDescent="0.35">
      <c r="A600" s="2">
        <v>10148</v>
      </c>
      <c r="B600" s="2" t="s">
        <v>149</v>
      </c>
      <c r="C600" s="2" t="s">
        <v>998</v>
      </c>
      <c r="D600" s="2" t="s">
        <v>86</v>
      </c>
      <c r="E600" s="2" t="s">
        <v>29</v>
      </c>
      <c r="F600" s="2" t="s">
        <v>41</v>
      </c>
      <c r="G600" s="2">
        <v>8</v>
      </c>
      <c r="H600" s="9">
        <v>15000</v>
      </c>
      <c r="I600" s="9">
        <v>120000</v>
      </c>
      <c r="J600" s="21">
        <v>45846</v>
      </c>
      <c r="K600" s="7" t="s">
        <v>1013</v>
      </c>
      <c r="L600" s="2" t="s">
        <v>36</v>
      </c>
      <c r="M600" s="2" t="s">
        <v>25</v>
      </c>
    </row>
    <row r="601" spans="1:13" x14ac:dyDescent="0.35">
      <c r="A601" s="2">
        <v>10129</v>
      </c>
      <c r="B601" s="2" t="s">
        <v>718</v>
      </c>
      <c r="C601" s="2" t="s">
        <v>377</v>
      </c>
      <c r="D601" s="2" t="s">
        <v>86</v>
      </c>
      <c r="E601" s="2" t="s">
        <v>29</v>
      </c>
      <c r="F601" s="2" t="s">
        <v>41</v>
      </c>
      <c r="G601" s="2">
        <v>2</v>
      </c>
      <c r="H601" s="9">
        <v>150000</v>
      </c>
      <c r="I601" s="9">
        <v>300000</v>
      </c>
      <c r="J601" s="21">
        <v>45812</v>
      </c>
      <c r="K601" s="7" t="s">
        <v>1007</v>
      </c>
      <c r="L601" s="2" t="s">
        <v>17</v>
      </c>
      <c r="M601" s="2" t="s">
        <v>25</v>
      </c>
    </row>
    <row r="602" spans="1:13" x14ac:dyDescent="0.35">
      <c r="B602" s="2" t="s">
        <v>436</v>
      </c>
      <c r="G602" s="10"/>
      <c r="I602" s="9"/>
      <c r="K602" s="7"/>
    </row>
    <row r="603" spans="1:13" x14ac:dyDescent="0.35">
      <c r="B603" s="2" t="s">
        <v>436</v>
      </c>
      <c r="H603"/>
      <c r="I603" s="9"/>
      <c r="K603" s="7"/>
    </row>
    <row r="604" spans="1:13" x14ac:dyDescent="0.35">
      <c r="H604"/>
      <c r="I604"/>
      <c r="K604"/>
    </row>
    <row r="605" spans="1:13" x14ac:dyDescent="0.35">
      <c r="H605"/>
      <c r="I605"/>
      <c r="K605"/>
    </row>
    <row r="606" spans="1:13" x14ac:dyDescent="0.35">
      <c r="H606"/>
      <c r="I606"/>
      <c r="K606"/>
    </row>
    <row r="607" spans="1:13" x14ac:dyDescent="0.35">
      <c r="H607"/>
      <c r="I607"/>
      <c r="K607"/>
    </row>
    <row r="608" spans="1:13" x14ac:dyDescent="0.35">
      <c r="H608"/>
      <c r="I608"/>
      <c r="K608"/>
    </row>
    <row r="609" spans="8:11" x14ac:dyDescent="0.35">
      <c r="H609"/>
      <c r="I609"/>
      <c r="K609"/>
    </row>
    <row r="610" spans="8:11" x14ac:dyDescent="0.35">
      <c r="H610"/>
      <c r="I610"/>
      <c r="K610"/>
    </row>
    <row r="611" spans="8:11" x14ac:dyDescent="0.35">
      <c r="H611"/>
      <c r="I611"/>
      <c r="K611"/>
    </row>
    <row r="612" spans="8:11" x14ac:dyDescent="0.35">
      <c r="H612"/>
      <c r="I612"/>
      <c r="K612"/>
    </row>
    <row r="613" spans="8:11" x14ac:dyDescent="0.35">
      <c r="H613"/>
      <c r="I613"/>
      <c r="K613"/>
    </row>
    <row r="614" spans="8:11" x14ac:dyDescent="0.35">
      <c r="H614"/>
      <c r="I614"/>
      <c r="K614"/>
    </row>
    <row r="615" spans="8:11" x14ac:dyDescent="0.35">
      <c r="H615"/>
      <c r="I615"/>
      <c r="K615"/>
    </row>
    <row r="616" spans="8:11" x14ac:dyDescent="0.35">
      <c r="H616"/>
      <c r="I616"/>
      <c r="K616"/>
    </row>
    <row r="617" spans="8:11" x14ac:dyDescent="0.35">
      <c r="H617"/>
      <c r="I617"/>
      <c r="K617"/>
    </row>
    <row r="618" spans="8:11" x14ac:dyDescent="0.35">
      <c r="H618"/>
      <c r="I618"/>
      <c r="K618"/>
    </row>
    <row r="619" spans="8:11" x14ac:dyDescent="0.35">
      <c r="H619"/>
      <c r="I619"/>
      <c r="K619"/>
    </row>
    <row r="620" spans="8:11" x14ac:dyDescent="0.35">
      <c r="H620"/>
      <c r="I620"/>
      <c r="K620"/>
    </row>
    <row r="621" spans="8:11" x14ac:dyDescent="0.35">
      <c r="H621"/>
      <c r="I621"/>
      <c r="K621"/>
    </row>
    <row r="622" spans="8:11" x14ac:dyDescent="0.35">
      <c r="H622"/>
      <c r="I622"/>
      <c r="K622"/>
    </row>
    <row r="623" spans="8:11" x14ac:dyDescent="0.35">
      <c r="H623"/>
      <c r="I623"/>
      <c r="K623"/>
    </row>
    <row r="624" spans="8:11" x14ac:dyDescent="0.35">
      <c r="H624"/>
      <c r="I624"/>
      <c r="K624"/>
    </row>
    <row r="625" spans="8:11" x14ac:dyDescent="0.35">
      <c r="H625"/>
      <c r="I625"/>
      <c r="K625"/>
    </row>
    <row r="626" spans="8:11" x14ac:dyDescent="0.35">
      <c r="H626"/>
      <c r="I626"/>
      <c r="K626"/>
    </row>
    <row r="627" spans="8:11" x14ac:dyDescent="0.35">
      <c r="H627"/>
      <c r="I627"/>
      <c r="K627"/>
    </row>
    <row r="628" spans="8:11" x14ac:dyDescent="0.35">
      <c r="H628"/>
      <c r="I628"/>
      <c r="K628"/>
    </row>
    <row r="629" spans="8:11" x14ac:dyDescent="0.35">
      <c r="H629"/>
      <c r="I629"/>
      <c r="K629"/>
    </row>
    <row r="630" spans="8:11" x14ac:dyDescent="0.35">
      <c r="H630"/>
      <c r="I630"/>
      <c r="K630"/>
    </row>
    <row r="631" spans="8:11" x14ac:dyDescent="0.35">
      <c r="H631"/>
      <c r="I631"/>
      <c r="K631"/>
    </row>
    <row r="632" spans="8:11" x14ac:dyDescent="0.35">
      <c r="H632"/>
      <c r="I632"/>
      <c r="K632"/>
    </row>
    <row r="633" spans="8:11" x14ac:dyDescent="0.35">
      <c r="H633"/>
      <c r="I633"/>
      <c r="K633"/>
    </row>
    <row r="634" spans="8:11" x14ac:dyDescent="0.35">
      <c r="H634"/>
      <c r="I634"/>
      <c r="K634"/>
    </row>
    <row r="635" spans="8:11" x14ac:dyDescent="0.35">
      <c r="H635"/>
      <c r="I635"/>
      <c r="K635"/>
    </row>
    <row r="636" spans="8:11" x14ac:dyDescent="0.35">
      <c r="H636"/>
      <c r="I636"/>
      <c r="K636"/>
    </row>
    <row r="637" spans="8:11" x14ac:dyDescent="0.35">
      <c r="H637"/>
      <c r="I637"/>
      <c r="K637"/>
    </row>
    <row r="638" spans="8:11" x14ac:dyDescent="0.35">
      <c r="H638"/>
      <c r="I638"/>
      <c r="K638"/>
    </row>
    <row r="639" spans="8:11" x14ac:dyDescent="0.35">
      <c r="H639"/>
      <c r="I639"/>
      <c r="K639"/>
    </row>
    <row r="640" spans="8:11" x14ac:dyDescent="0.35">
      <c r="H640"/>
      <c r="I640"/>
      <c r="K640"/>
    </row>
    <row r="641" spans="8:11" x14ac:dyDescent="0.35">
      <c r="H641"/>
      <c r="I641"/>
      <c r="K641"/>
    </row>
    <row r="642" spans="8:11" x14ac:dyDescent="0.35">
      <c r="H642"/>
      <c r="I642"/>
      <c r="K642"/>
    </row>
    <row r="643" spans="8:11" x14ac:dyDescent="0.35">
      <c r="H643"/>
      <c r="I643"/>
      <c r="K643"/>
    </row>
    <row r="644" spans="8:11" x14ac:dyDescent="0.35">
      <c r="H644"/>
      <c r="I644"/>
      <c r="K644"/>
    </row>
    <row r="645" spans="8:11" x14ac:dyDescent="0.35">
      <c r="H645"/>
      <c r="I645"/>
      <c r="K645"/>
    </row>
    <row r="646" spans="8:11" x14ac:dyDescent="0.35">
      <c r="H646"/>
      <c r="I646"/>
      <c r="K646"/>
    </row>
    <row r="647" spans="8:11" x14ac:dyDescent="0.35">
      <c r="H647"/>
      <c r="I647"/>
      <c r="K647"/>
    </row>
    <row r="648" spans="8:11" x14ac:dyDescent="0.35">
      <c r="H648"/>
      <c r="I648"/>
      <c r="K648"/>
    </row>
    <row r="649" spans="8:11" x14ac:dyDescent="0.35">
      <c r="H649"/>
      <c r="I649"/>
      <c r="K649"/>
    </row>
    <row r="650" spans="8:11" x14ac:dyDescent="0.35">
      <c r="H650"/>
      <c r="I650"/>
      <c r="K650"/>
    </row>
    <row r="651" spans="8:11" x14ac:dyDescent="0.35">
      <c r="H651"/>
      <c r="I651"/>
      <c r="K651"/>
    </row>
    <row r="652" spans="8:11" x14ac:dyDescent="0.35">
      <c r="H652"/>
      <c r="I652"/>
      <c r="K652"/>
    </row>
    <row r="653" spans="8:11" x14ac:dyDescent="0.35">
      <c r="H653"/>
      <c r="I653"/>
      <c r="K653"/>
    </row>
    <row r="654" spans="8:11" x14ac:dyDescent="0.35">
      <c r="H654"/>
      <c r="I654"/>
      <c r="K654"/>
    </row>
    <row r="655" spans="8:11" x14ac:dyDescent="0.35">
      <c r="H655"/>
      <c r="I655"/>
      <c r="K655"/>
    </row>
    <row r="656" spans="8:11" x14ac:dyDescent="0.35">
      <c r="H656"/>
      <c r="I656"/>
      <c r="K656"/>
    </row>
    <row r="657" spans="8:11" x14ac:dyDescent="0.35">
      <c r="H657"/>
      <c r="I657"/>
      <c r="K657"/>
    </row>
    <row r="658" spans="8:11" x14ac:dyDescent="0.35">
      <c r="H658"/>
      <c r="I658"/>
      <c r="K658"/>
    </row>
    <row r="659" spans="8:11" x14ac:dyDescent="0.35">
      <c r="H659"/>
      <c r="I659"/>
      <c r="K659"/>
    </row>
    <row r="660" spans="8:11" x14ac:dyDescent="0.35">
      <c r="H660"/>
      <c r="I660"/>
      <c r="K660"/>
    </row>
    <row r="661" spans="8:11" x14ac:dyDescent="0.35">
      <c r="H661"/>
      <c r="I661"/>
      <c r="K661"/>
    </row>
    <row r="662" spans="8:11" x14ac:dyDescent="0.35">
      <c r="H662"/>
      <c r="I662"/>
      <c r="K662"/>
    </row>
  </sheetData>
  <autoFilter ref="A1:P603" xr:uid="{00000000-0001-0000-00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9D60-4F6B-413D-B3D0-0AD5111C445B}">
  <dimension ref="A1:D601"/>
  <sheetViews>
    <sheetView workbookViewId="0">
      <selection activeCell="C5" sqref="C5"/>
    </sheetView>
  </sheetViews>
  <sheetFormatPr defaultRowHeight="14.5" x14ac:dyDescent="0.35"/>
  <cols>
    <col min="1" max="1" width="8" bestFit="1" customWidth="1"/>
    <col min="2" max="2" width="18.36328125" bestFit="1" customWidth="1"/>
    <col min="3" max="3" width="12.90625" bestFit="1" customWidth="1"/>
    <col min="4" max="4" width="10" bestFit="1" customWidth="1"/>
    <col min="8" max="8" width="12.7265625" bestFit="1" customWidth="1"/>
  </cols>
  <sheetData>
    <row r="1" spans="1:4" x14ac:dyDescent="0.35">
      <c r="A1" s="17" t="s">
        <v>0</v>
      </c>
      <c r="B1" s="17" t="s">
        <v>1</v>
      </c>
      <c r="C1" s="17" t="s">
        <v>422</v>
      </c>
      <c r="D1" s="17" t="s">
        <v>2</v>
      </c>
    </row>
    <row r="2" spans="1:4" x14ac:dyDescent="0.35">
      <c r="A2" s="2">
        <v>10375</v>
      </c>
      <c r="B2" t="str">
        <f>_xlfn.XLOOKUP(A2,'Tabel Referensi'!$A$2:$A$601,'Tabel Referensi'!$B$2:$B$601)</f>
        <v>Nita Marpaung</v>
      </c>
      <c r="C2" t="str">
        <f>_xlfn.XLOOKUP(A2,'Tabel Referensi'!$A$2:$A$601,'Tabel Referensi'!$C$2:$C$601)</f>
        <v>088562606029</v>
      </c>
      <c r="D2" t="str">
        <f>_xlfn.XLOOKUP(A2,'Tabel Referensi'!$A$2:$A$601,'Tabel Referensi'!$D$2:$D$601)</f>
        <v>Denpasar</v>
      </c>
    </row>
    <row r="3" spans="1:4" x14ac:dyDescent="0.35">
      <c r="A3" s="2">
        <v>10342</v>
      </c>
      <c r="B3" t="str">
        <f>_xlfn.XLOOKUP(A3,'Tabel Referensi'!$A$2:$A$601,'Tabel Referensi'!$B$2:$B$601)</f>
        <v>Fajar Rahayu</v>
      </c>
      <c r="C3" t="str">
        <f>_xlfn.XLOOKUP(A3,'Tabel Referensi'!$A$2:$A$601,'Tabel Referensi'!$C$2:$C$601)</f>
        <v>088963919195</v>
      </c>
      <c r="D3" t="str">
        <f>_xlfn.XLOOKUP(A3,'Tabel Referensi'!$A$2:$A$601,'Tabel Referensi'!$D$2:$D$601)</f>
        <v>Makassar</v>
      </c>
    </row>
    <row r="4" spans="1:4" x14ac:dyDescent="0.35">
      <c r="A4" s="2">
        <v>10232</v>
      </c>
      <c r="B4" t="str">
        <f>_xlfn.XLOOKUP(A4,'Tabel Referensi'!$A$2:$A$601,'Tabel Referensi'!$B$2:$B$601)</f>
        <v>Dian Hidayat</v>
      </c>
      <c r="C4" t="str">
        <f>_xlfn.XLOOKUP(A4,'Tabel Referensi'!$A$2:$A$601,'Tabel Referensi'!$C$2:$C$601)</f>
        <v>088716947225</v>
      </c>
      <c r="D4" t="str">
        <f>_xlfn.XLOOKUP(A4,'Tabel Referensi'!$A$2:$A$601,'Tabel Referensi'!$D$2:$D$601)</f>
        <v>Malang</v>
      </c>
    </row>
    <row r="5" spans="1:4" x14ac:dyDescent="0.35">
      <c r="A5" s="2">
        <v>10144</v>
      </c>
      <c r="B5" t="str">
        <f>_xlfn.XLOOKUP(A5,'Tabel Referensi'!$A$2:$A$601,'Tabel Referensi'!$B$2:$B$601)</f>
        <v>Zaki Nugroho</v>
      </c>
      <c r="C5" t="str">
        <f>_xlfn.XLOOKUP(A5,'Tabel Referensi'!$A$2:$A$601,'Tabel Referensi'!$C$2:$C$601)</f>
        <v>08210202758</v>
      </c>
      <c r="D5" t="str">
        <f>_xlfn.XLOOKUP(A5,'Tabel Referensi'!$A$2:$A$601,'Tabel Referensi'!$D$2:$D$601)</f>
        <v>Bandung</v>
      </c>
    </row>
    <row r="6" spans="1:4" x14ac:dyDescent="0.35">
      <c r="A6" s="2">
        <v>10344</v>
      </c>
      <c r="B6" t="str">
        <f>_xlfn.XLOOKUP(A6,'Tabel Referensi'!$A$2:$A$601,'Tabel Referensi'!$B$2:$B$601)</f>
        <v>Putri Hidayat</v>
      </c>
      <c r="C6" t="str">
        <f>_xlfn.XLOOKUP(A6,'Tabel Referensi'!$A$2:$A$601,'Tabel Referensi'!$C$2:$C$601)</f>
        <v>088723246651</v>
      </c>
      <c r="D6" t="str">
        <f>_xlfn.XLOOKUP(A6,'Tabel Referensi'!$A$2:$A$601,'Tabel Referensi'!$D$2:$D$601)</f>
        <v>Semarang</v>
      </c>
    </row>
    <row r="7" spans="1:4" x14ac:dyDescent="0.35">
      <c r="A7" s="2">
        <v>10503</v>
      </c>
      <c r="B7" t="str">
        <f>_xlfn.XLOOKUP(A7,'Tabel Referensi'!$A$2:$A$601,'Tabel Referensi'!$B$2:$B$601)</f>
        <v>Fitri Hidayat</v>
      </c>
      <c r="C7" t="str">
        <f>_xlfn.XLOOKUP(A7,'Tabel Referensi'!$A$2:$A$601,'Tabel Referensi'!$C$2:$C$601)</f>
        <v>08657224029</v>
      </c>
      <c r="D7" t="str">
        <f>_xlfn.XLOOKUP(A7,'Tabel Referensi'!$A$2:$A$601,'Tabel Referensi'!$D$2:$D$601)</f>
        <v>Jakarta</v>
      </c>
    </row>
    <row r="8" spans="1:4" x14ac:dyDescent="0.35">
      <c r="A8" s="2">
        <v>10367</v>
      </c>
      <c r="B8" t="str">
        <f>_xlfn.XLOOKUP(A8,'Tabel Referensi'!$A$2:$A$601,'Tabel Referensi'!$B$2:$B$601)</f>
        <v>Eka Saputra</v>
      </c>
      <c r="C8" t="str">
        <f>_xlfn.XLOOKUP(A8,'Tabel Referensi'!$A$2:$A$601,'Tabel Referensi'!$C$2:$C$601)</f>
        <v>088831472760</v>
      </c>
      <c r="D8" t="str">
        <f>_xlfn.XLOOKUP(A8,'Tabel Referensi'!$A$2:$A$601,'Tabel Referensi'!$D$2:$D$601)</f>
        <v>Jakarta</v>
      </c>
    </row>
    <row r="9" spans="1:4" x14ac:dyDescent="0.35">
      <c r="A9" s="2">
        <v>10480</v>
      </c>
      <c r="B9" t="str">
        <f>_xlfn.XLOOKUP(A9,'Tabel Referensi'!$A$2:$A$601,'Tabel Referensi'!$B$2:$B$601)</f>
        <v>Joko Simatupang</v>
      </c>
      <c r="C9" t="str">
        <f>_xlfn.XLOOKUP(A9,'Tabel Referensi'!$A$2:$A$601,'Tabel Referensi'!$C$2:$C$601)</f>
        <v>088065019179</v>
      </c>
      <c r="D9" t="str">
        <f>_xlfn.XLOOKUP(A9,'Tabel Referensi'!$A$2:$A$601,'Tabel Referensi'!$D$2:$D$601)</f>
        <v>Denpasar</v>
      </c>
    </row>
    <row r="10" spans="1:4" x14ac:dyDescent="0.35">
      <c r="A10" s="2">
        <v>10177</v>
      </c>
      <c r="B10" t="str">
        <f>_xlfn.XLOOKUP(A10,'Tabel Referensi'!$A$2:$A$601,'Tabel Referensi'!$B$2:$B$601)</f>
        <v>Zaki Rahayu</v>
      </c>
      <c r="C10" t="str">
        <f>_xlfn.XLOOKUP(A10,'Tabel Referensi'!$A$2:$A$601,'Tabel Referensi'!$C$2:$C$601)</f>
        <v>08999173816</v>
      </c>
      <c r="D10" t="str">
        <f>_xlfn.XLOOKUP(A10,'Tabel Referensi'!$A$2:$A$601,'Tabel Referensi'!$D$2:$D$601)</f>
        <v>Yogyakarta</v>
      </c>
    </row>
    <row r="11" spans="1:4" x14ac:dyDescent="0.35">
      <c r="A11" s="2">
        <v>10091</v>
      </c>
      <c r="B11" t="str">
        <f>_xlfn.XLOOKUP(A11,'Tabel Referensi'!$A$2:$A$601,'Tabel Referensi'!$B$2:$B$601)</f>
        <v>Rian Simatupang</v>
      </c>
      <c r="C11" t="str">
        <f>_xlfn.XLOOKUP(A11,'Tabel Referensi'!$A$2:$A$601,'Tabel Referensi'!$C$2:$C$601)</f>
        <v>088016245650</v>
      </c>
      <c r="D11" t="str">
        <f>_xlfn.XLOOKUP(A11,'Tabel Referensi'!$A$2:$A$601,'Tabel Referensi'!$D$2:$D$601)</f>
        <v>Bandung</v>
      </c>
    </row>
    <row r="12" spans="1:4" x14ac:dyDescent="0.35">
      <c r="A12" s="2">
        <v>10008</v>
      </c>
      <c r="B12" t="str">
        <f>_xlfn.XLOOKUP(A12,'Tabel Referensi'!$A$2:$A$601,'Tabel Referensi'!$B$2:$B$601)</f>
        <v>Oki Pratama</v>
      </c>
      <c r="C12" t="str">
        <f>_xlfn.XLOOKUP(A12,'Tabel Referensi'!$A$2:$A$601,'Tabel Referensi'!$C$2:$C$601)</f>
        <v/>
      </c>
      <c r="D12" t="str">
        <f>_xlfn.XLOOKUP(A12,'Tabel Referensi'!$A$2:$A$601,'Tabel Referensi'!$D$2:$D$601)</f>
        <v>Bandung</v>
      </c>
    </row>
    <row r="13" spans="1:4" x14ac:dyDescent="0.35">
      <c r="A13" s="2">
        <v>10043</v>
      </c>
      <c r="B13" t="str">
        <f>_xlfn.XLOOKUP(A13,'Tabel Referensi'!$A$2:$A$601,'Tabel Referensi'!$B$2:$B$601)</f>
        <v>Bella Nugroho</v>
      </c>
      <c r="C13" t="str">
        <f>_xlfn.XLOOKUP(A13,'Tabel Referensi'!$A$2:$A$601,'Tabel Referensi'!$C$2:$C$601)</f>
        <v>088274846773</v>
      </c>
      <c r="D13" t="str">
        <f>_xlfn.XLOOKUP(A13,'Tabel Referensi'!$A$2:$A$601,'Tabel Referensi'!$D$2:$D$601)</f>
        <v>Semarang</v>
      </c>
    </row>
    <row r="14" spans="1:4" x14ac:dyDescent="0.35">
      <c r="A14" s="2">
        <v>10598</v>
      </c>
      <c r="B14" t="str">
        <f>_xlfn.XLOOKUP(A14,'Tabel Referensi'!$A$2:$A$601,'Tabel Referensi'!$B$2:$B$601)</f>
        <v>Gita Rahayu</v>
      </c>
      <c r="C14" t="str">
        <f>_xlfn.XLOOKUP(A14,'Tabel Referensi'!$A$2:$A$601,'Tabel Referensi'!$C$2:$C$601)</f>
        <v>088704622681</v>
      </c>
      <c r="D14" t="str">
        <f>_xlfn.XLOOKUP(A14,'Tabel Referensi'!$A$2:$A$601,'Tabel Referensi'!$D$2:$D$601)</f>
        <v>Jakarta</v>
      </c>
    </row>
    <row r="15" spans="1:4" x14ac:dyDescent="0.35">
      <c r="A15" s="2">
        <v>10544</v>
      </c>
      <c r="B15" t="str">
        <f>_xlfn.XLOOKUP(A15,'Tabel Referensi'!$A$2:$A$601,'Tabel Referensi'!$B$2:$B$601)</f>
        <v>Gita Gunawan</v>
      </c>
      <c r="C15" t="str">
        <f>_xlfn.XLOOKUP(A15,'Tabel Referensi'!$A$2:$A$601,'Tabel Referensi'!$C$2:$C$601)</f>
        <v>088030102724</v>
      </c>
      <c r="D15" t="str">
        <f>_xlfn.XLOOKUP(A15,'Tabel Referensi'!$A$2:$A$601,'Tabel Referensi'!$D$2:$D$601)</f>
        <v>Medan</v>
      </c>
    </row>
    <row r="16" spans="1:4" x14ac:dyDescent="0.35">
      <c r="A16" s="2">
        <v>10111</v>
      </c>
      <c r="B16" t="str">
        <f>_xlfn.XLOOKUP(A16,'Tabel Referensi'!$A$2:$A$601,'Tabel Referensi'!$B$2:$B$601)</f>
        <v>Gita Hidayat</v>
      </c>
      <c r="C16" t="str">
        <f>_xlfn.XLOOKUP(A16,'Tabel Referensi'!$A$2:$A$601,'Tabel Referensi'!$C$2:$C$601)</f>
        <v>088363854678</v>
      </c>
      <c r="D16" t="str">
        <f>_xlfn.XLOOKUP(A16,'Tabel Referensi'!$A$2:$A$601,'Tabel Referensi'!$D$2:$D$601)</f>
        <v>Bandung</v>
      </c>
    </row>
    <row r="17" spans="1:4" x14ac:dyDescent="0.35">
      <c r="A17" s="2">
        <v>10051</v>
      </c>
      <c r="B17" t="str">
        <f>_xlfn.XLOOKUP(A17,'Tabel Referensi'!$A$2:$A$601,'Tabel Referensi'!$B$2:$B$601)</f>
        <v>Bella Halim</v>
      </c>
      <c r="C17" t="str">
        <f>_xlfn.XLOOKUP(A17,'Tabel Referensi'!$A$2:$A$601,'Tabel Referensi'!$C$2:$C$601)</f>
        <v>08236851604</v>
      </c>
      <c r="D17" t="str">
        <f>_xlfn.XLOOKUP(A17,'Tabel Referensi'!$A$2:$A$601,'Tabel Referensi'!$D$2:$D$601)</f>
        <v>Denpasar</v>
      </c>
    </row>
    <row r="18" spans="1:4" x14ac:dyDescent="0.35">
      <c r="A18" s="2">
        <v>10097</v>
      </c>
      <c r="B18" t="str">
        <f>_xlfn.XLOOKUP(A18,'Tabel Referensi'!$A$2:$A$601,'Tabel Referensi'!$B$2:$B$601)</f>
        <v>Putri Halim</v>
      </c>
      <c r="C18" t="str">
        <f>_xlfn.XLOOKUP(A18,'Tabel Referensi'!$A$2:$A$601,'Tabel Referensi'!$C$2:$C$601)</f>
        <v>088415747338</v>
      </c>
      <c r="D18" t="str">
        <f>_xlfn.XLOOKUP(A18,'Tabel Referensi'!$A$2:$A$601,'Tabel Referensi'!$D$2:$D$601)</f>
        <v>Semarang</v>
      </c>
    </row>
    <row r="19" spans="1:4" x14ac:dyDescent="0.35">
      <c r="A19" s="2">
        <v>10569</v>
      </c>
      <c r="B19" t="str">
        <f>_xlfn.XLOOKUP(A19,'Tabel Referensi'!$A$2:$A$601,'Tabel Referensi'!$B$2:$B$601)</f>
        <v>Erik Santoso</v>
      </c>
      <c r="C19" t="str">
        <f>_xlfn.XLOOKUP(A19,'Tabel Referensi'!$A$2:$A$601,'Tabel Referensi'!$C$2:$C$601)</f>
        <v/>
      </c>
      <c r="D19" t="str">
        <f>_xlfn.XLOOKUP(A19,'Tabel Referensi'!$A$2:$A$601,'Tabel Referensi'!$D$2:$D$601)</f>
        <v>Bandung</v>
      </c>
    </row>
    <row r="20" spans="1:4" x14ac:dyDescent="0.35">
      <c r="A20" s="2">
        <v>10040</v>
      </c>
      <c r="B20" t="str">
        <f>_xlfn.XLOOKUP(A20,'Tabel Referensi'!$A$2:$A$601,'Tabel Referensi'!$B$2:$B$601)</f>
        <v>Hadi Saputra</v>
      </c>
      <c r="C20" t="str">
        <f>_xlfn.XLOOKUP(A20,'Tabel Referensi'!$A$2:$A$601,'Tabel Referensi'!$C$2:$C$601)</f>
        <v>088671756551</v>
      </c>
      <c r="D20" t="str">
        <f>_xlfn.XLOOKUP(A20,'Tabel Referensi'!$A$2:$A$601,'Tabel Referensi'!$D$2:$D$601)</f>
        <v>Malang</v>
      </c>
    </row>
    <row r="21" spans="1:4" x14ac:dyDescent="0.35">
      <c r="A21" s="2">
        <v>10397</v>
      </c>
      <c r="B21" t="str">
        <f>_xlfn.XLOOKUP(A21,'Tabel Referensi'!$A$2:$A$601,'Tabel Referensi'!$B$2:$B$601)</f>
        <v>Bella Gunawan</v>
      </c>
      <c r="C21" t="str">
        <f>_xlfn.XLOOKUP(A21,'Tabel Referensi'!$A$2:$A$601,'Tabel Referensi'!$C$2:$C$601)</f>
        <v>088997179110</v>
      </c>
      <c r="D21" t="str">
        <f>_xlfn.XLOOKUP(A21,'Tabel Referensi'!$A$2:$A$601,'Tabel Referensi'!$D$2:$D$601)</f>
        <v>Bandung</v>
      </c>
    </row>
    <row r="22" spans="1:4" x14ac:dyDescent="0.35">
      <c r="A22" s="2">
        <v>10415</v>
      </c>
      <c r="B22" t="str">
        <f>_xlfn.XLOOKUP(A22,'Tabel Referensi'!$A$2:$A$601,'Tabel Referensi'!$B$2:$B$601)</f>
        <v>Made Hidayat</v>
      </c>
      <c r="C22" t="str">
        <f>_xlfn.XLOOKUP(A22,'Tabel Referensi'!$A$2:$A$601,'Tabel Referensi'!$C$2:$C$601)</f>
        <v>088743027169</v>
      </c>
      <c r="D22" t="str">
        <f>_xlfn.XLOOKUP(A22,'Tabel Referensi'!$A$2:$A$601,'Tabel Referensi'!$D$2:$D$601)</f>
        <v>Bandung</v>
      </c>
    </row>
    <row r="23" spans="1:4" x14ac:dyDescent="0.35">
      <c r="A23" s="2">
        <v>10172</v>
      </c>
      <c r="B23" t="str">
        <f>_xlfn.XLOOKUP(A23,'Tabel Referensi'!$A$2:$A$601,'Tabel Referensi'!$B$2:$B$601)</f>
        <v>Dian Nasution</v>
      </c>
      <c r="C23" t="str">
        <f>_xlfn.XLOOKUP(A23,'Tabel Referensi'!$A$2:$A$601,'Tabel Referensi'!$C$2:$C$601)</f>
        <v/>
      </c>
      <c r="D23" t="str">
        <f>_xlfn.XLOOKUP(A23,'Tabel Referensi'!$A$2:$A$601,'Tabel Referensi'!$D$2:$D$601)</f>
        <v>Denpasar</v>
      </c>
    </row>
    <row r="24" spans="1:4" x14ac:dyDescent="0.35">
      <c r="A24" s="2">
        <v>10518</v>
      </c>
      <c r="B24" t="str">
        <f>_xlfn.XLOOKUP(A24,'Tabel Referensi'!$A$2:$A$601,'Tabel Referensi'!$B$2:$B$601)</f>
        <v>Made Santoso</v>
      </c>
      <c r="C24" t="str">
        <f>_xlfn.XLOOKUP(A24,'Tabel Referensi'!$A$2:$A$601,'Tabel Referensi'!$C$2:$C$601)</f>
        <v>088310094318</v>
      </c>
      <c r="D24" t="str">
        <f>_xlfn.XLOOKUP(A24,'Tabel Referensi'!$A$2:$A$601,'Tabel Referensi'!$D$2:$D$601)</f>
        <v>Semarang</v>
      </c>
    </row>
    <row r="25" spans="1:4" x14ac:dyDescent="0.35">
      <c r="A25" s="2">
        <v>10231</v>
      </c>
      <c r="B25" t="str">
        <f>_xlfn.XLOOKUP(A25,'Tabel Referensi'!$A$2:$A$601,'Tabel Referensi'!$B$2:$B$601)</f>
        <v>Dian Wijaya</v>
      </c>
      <c r="C25" t="str">
        <f>_xlfn.XLOOKUP(A25,'Tabel Referensi'!$A$2:$A$601,'Tabel Referensi'!$C$2:$C$601)</f>
        <v>088455884506</v>
      </c>
      <c r="D25" t="str">
        <f>_xlfn.XLOOKUP(A25,'Tabel Referensi'!$A$2:$A$601,'Tabel Referensi'!$D$2:$D$601)</f>
        <v>Jakarta</v>
      </c>
    </row>
    <row r="26" spans="1:4" x14ac:dyDescent="0.35">
      <c r="A26" s="2">
        <v>10124</v>
      </c>
      <c r="B26" t="str">
        <f>_xlfn.XLOOKUP(A26,'Tabel Referensi'!$A$2:$A$601,'Tabel Referensi'!$B$2:$B$601)</f>
        <v>Lina Pratama</v>
      </c>
      <c r="C26" t="str">
        <f>_xlfn.XLOOKUP(A26,'Tabel Referensi'!$A$2:$A$601,'Tabel Referensi'!$C$2:$C$601)</f>
        <v>088167243426</v>
      </c>
      <c r="D26" t="str">
        <f>_xlfn.XLOOKUP(A26,'Tabel Referensi'!$A$2:$A$601,'Tabel Referensi'!$D$2:$D$601)</f>
        <v>Bandung</v>
      </c>
    </row>
    <row r="27" spans="1:4" x14ac:dyDescent="0.35">
      <c r="A27" s="2">
        <v>10195</v>
      </c>
      <c r="B27" t="str">
        <f>_xlfn.XLOOKUP(A27,'Tabel Referensi'!$A$2:$A$601,'Tabel Referensi'!$B$2:$B$601)</f>
        <v>Rian Gunawan</v>
      </c>
      <c r="C27" t="str">
        <f>_xlfn.XLOOKUP(A27,'Tabel Referensi'!$A$2:$A$601,'Tabel Referensi'!$C$2:$C$601)</f>
        <v>088608106200</v>
      </c>
      <c r="D27" t="str">
        <f>_xlfn.XLOOKUP(A27,'Tabel Referensi'!$A$2:$A$601,'Tabel Referensi'!$D$2:$D$601)</f>
        <v>Yogyakarta</v>
      </c>
    </row>
    <row r="28" spans="1:4" x14ac:dyDescent="0.35">
      <c r="A28" s="2">
        <v>10095</v>
      </c>
      <c r="B28" t="str">
        <f>_xlfn.XLOOKUP(A28,'Tabel Referensi'!$A$2:$A$601,'Tabel Referensi'!$B$2:$B$601)</f>
        <v>Rian Siregar</v>
      </c>
      <c r="C28" t="str">
        <f>_xlfn.XLOOKUP(A28,'Tabel Referensi'!$A$2:$A$601,'Tabel Referensi'!$C$2:$C$601)</f>
        <v>08368970283</v>
      </c>
      <c r="D28" t="str">
        <f>_xlfn.XLOOKUP(A28,'Tabel Referensi'!$A$2:$A$601,'Tabel Referensi'!$D$2:$D$601)</f>
        <v>Bandung</v>
      </c>
    </row>
    <row r="29" spans="1:4" x14ac:dyDescent="0.35">
      <c r="A29" s="2">
        <v>10009</v>
      </c>
      <c r="B29" t="str">
        <f>_xlfn.XLOOKUP(A29,'Tabel Referensi'!$A$2:$A$601,'Tabel Referensi'!$B$2:$B$601)</f>
        <v>Hadi Kusuma</v>
      </c>
      <c r="C29" t="str">
        <f>_xlfn.XLOOKUP(A29,'Tabel Referensi'!$A$2:$A$601,'Tabel Referensi'!$C$2:$C$601)</f>
        <v>088997376311</v>
      </c>
      <c r="D29" t="str">
        <f>_xlfn.XLOOKUP(A29,'Tabel Referensi'!$A$2:$A$601,'Tabel Referensi'!$D$2:$D$601)</f>
        <v>Yogyakarta</v>
      </c>
    </row>
    <row r="30" spans="1:4" x14ac:dyDescent="0.35">
      <c r="A30" s="2">
        <v>10493</v>
      </c>
      <c r="B30" t="str">
        <f>_xlfn.XLOOKUP(A30,'Tabel Referensi'!$A$2:$A$601,'Tabel Referensi'!$B$2:$B$601)</f>
        <v>Citra Rahayu</v>
      </c>
      <c r="C30" t="str">
        <f>_xlfn.XLOOKUP(A30,'Tabel Referensi'!$A$2:$A$601,'Tabel Referensi'!$C$2:$C$601)</f>
        <v>088423567782</v>
      </c>
      <c r="D30" t="str">
        <f>_xlfn.XLOOKUP(A30,'Tabel Referensi'!$A$2:$A$601,'Tabel Referensi'!$D$2:$D$601)</f>
        <v>Makassar</v>
      </c>
    </row>
    <row r="31" spans="1:4" x14ac:dyDescent="0.35">
      <c r="A31" s="2">
        <v>10568</v>
      </c>
      <c r="B31" t="str">
        <f>_xlfn.XLOOKUP(A31,'Tabel Referensi'!$A$2:$A$601,'Tabel Referensi'!$B$2:$B$601)</f>
        <v>Gita Marpaung</v>
      </c>
      <c r="C31" t="str">
        <f>_xlfn.XLOOKUP(A31,'Tabel Referensi'!$A$2:$A$601,'Tabel Referensi'!$C$2:$C$601)</f>
        <v>088047350476</v>
      </c>
      <c r="D31" t="str">
        <f>_xlfn.XLOOKUP(A31,'Tabel Referensi'!$A$2:$A$601,'Tabel Referensi'!$D$2:$D$601)</f>
        <v>Denpasar</v>
      </c>
    </row>
    <row r="32" spans="1:4" x14ac:dyDescent="0.35">
      <c r="A32" s="2">
        <v>10372</v>
      </c>
      <c r="B32" t="str">
        <f>_xlfn.XLOOKUP(A32,'Tabel Referensi'!$A$2:$A$601,'Tabel Referensi'!$B$2:$B$601)</f>
        <v>Wawan Santoso</v>
      </c>
      <c r="C32" t="str">
        <f>_xlfn.XLOOKUP(A32,'Tabel Referensi'!$A$2:$A$601,'Tabel Referensi'!$C$2:$C$601)</f>
        <v>08745508428</v>
      </c>
      <c r="D32" t="str">
        <f>_xlfn.XLOOKUP(A32,'Tabel Referensi'!$A$2:$A$601,'Tabel Referensi'!$D$2:$D$601)</f>
        <v>Denpasar</v>
      </c>
    </row>
    <row r="33" spans="1:4" x14ac:dyDescent="0.35">
      <c r="A33" s="2">
        <v>10093</v>
      </c>
      <c r="B33" t="str">
        <f>_xlfn.XLOOKUP(A33,'Tabel Referensi'!$A$2:$A$601,'Tabel Referensi'!$B$2:$B$601)</f>
        <v>Rian Siregar</v>
      </c>
      <c r="C33" t="str">
        <f>_xlfn.XLOOKUP(A33,'Tabel Referensi'!$A$2:$A$601,'Tabel Referensi'!$C$2:$C$601)</f>
        <v>08825952694</v>
      </c>
      <c r="D33" t="str">
        <f>_xlfn.XLOOKUP(A33,'Tabel Referensi'!$A$2:$A$601,'Tabel Referensi'!$D$2:$D$601)</f>
        <v>Medan</v>
      </c>
    </row>
    <row r="34" spans="1:4" x14ac:dyDescent="0.35">
      <c r="A34" s="2">
        <v>10269</v>
      </c>
      <c r="B34" t="str">
        <f>_xlfn.XLOOKUP(A34,'Tabel Referensi'!$A$2:$A$601,'Tabel Referensi'!$B$2:$B$601)</f>
        <v>Tono Nasution</v>
      </c>
      <c r="C34" t="str">
        <f>_xlfn.XLOOKUP(A34,'Tabel Referensi'!$A$2:$A$601,'Tabel Referensi'!$C$2:$C$601)</f>
        <v>088830220502</v>
      </c>
      <c r="D34" t="str">
        <f>_xlfn.XLOOKUP(A34,'Tabel Referensi'!$A$2:$A$601,'Tabel Referensi'!$D$2:$D$601)</f>
        <v>Makassar</v>
      </c>
    </row>
    <row r="35" spans="1:4" x14ac:dyDescent="0.35">
      <c r="A35" s="2">
        <v>10094</v>
      </c>
      <c r="B35" t="str">
        <f>_xlfn.XLOOKUP(A35,'Tabel Referensi'!$A$2:$A$601,'Tabel Referensi'!$B$2:$B$601)</f>
        <v>Rian Nasution</v>
      </c>
      <c r="C35" t="str">
        <f>_xlfn.XLOOKUP(A35,'Tabel Referensi'!$A$2:$A$601,'Tabel Referensi'!$C$2:$C$601)</f>
        <v>088097499309</v>
      </c>
      <c r="D35" t="str">
        <f>_xlfn.XLOOKUP(A35,'Tabel Referensi'!$A$2:$A$601,'Tabel Referensi'!$D$2:$D$601)</f>
        <v>Semarang</v>
      </c>
    </row>
    <row r="36" spans="1:4" x14ac:dyDescent="0.35">
      <c r="A36" s="2">
        <v>10167</v>
      </c>
      <c r="B36" t="str">
        <f>_xlfn.XLOOKUP(A36,'Tabel Referensi'!$A$2:$A$601,'Tabel Referensi'!$B$2:$B$601)</f>
        <v>Gita Hidayat</v>
      </c>
      <c r="C36" t="str">
        <f>_xlfn.XLOOKUP(A36,'Tabel Referensi'!$A$2:$A$601,'Tabel Referensi'!$C$2:$C$601)</f>
        <v>088116868548</v>
      </c>
      <c r="D36" t="str">
        <f>_xlfn.XLOOKUP(A36,'Tabel Referensi'!$A$2:$A$601,'Tabel Referensi'!$D$2:$D$601)</f>
        <v>Medan</v>
      </c>
    </row>
    <row r="37" spans="1:4" x14ac:dyDescent="0.35">
      <c r="A37" s="2">
        <v>10277</v>
      </c>
      <c r="B37" t="str">
        <f>_xlfn.XLOOKUP(A37,'Tabel Referensi'!$A$2:$A$601,'Tabel Referensi'!$B$2:$B$601)</f>
        <v>Eka Hidayat</v>
      </c>
      <c r="C37" t="str">
        <f>_xlfn.XLOOKUP(A37,'Tabel Referensi'!$A$2:$A$601,'Tabel Referensi'!$C$2:$C$601)</f>
        <v>088076810409</v>
      </c>
      <c r="D37" t="str">
        <f>_xlfn.XLOOKUP(A37,'Tabel Referensi'!$A$2:$A$601,'Tabel Referensi'!$D$2:$D$601)</f>
        <v>Palembang</v>
      </c>
    </row>
    <row r="38" spans="1:4" x14ac:dyDescent="0.35">
      <c r="A38" s="2">
        <v>10250</v>
      </c>
      <c r="B38" t="str">
        <f>_xlfn.XLOOKUP(A38,'Tabel Referensi'!$A$2:$A$601,'Tabel Referensi'!$B$2:$B$601)</f>
        <v>Oki Halim</v>
      </c>
      <c r="C38" t="str">
        <f>_xlfn.XLOOKUP(A38,'Tabel Referensi'!$A$2:$A$601,'Tabel Referensi'!$C$2:$C$601)</f>
        <v>088684577600</v>
      </c>
      <c r="D38" t="str">
        <f>_xlfn.XLOOKUP(A38,'Tabel Referensi'!$A$2:$A$601,'Tabel Referensi'!$D$2:$D$601)</f>
        <v>Denpasar</v>
      </c>
    </row>
    <row r="39" spans="1:4" x14ac:dyDescent="0.35">
      <c r="A39" s="2">
        <v>10044</v>
      </c>
      <c r="B39" t="str">
        <f>_xlfn.XLOOKUP(A39,'Tabel Referensi'!$A$2:$A$601,'Tabel Referensi'!$B$2:$B$601)</f>
        <v>Eka Siregar</v>
      </c>
      <c r="C39" t="str">
        <f>_xlfn.XLOOKUP(A39,'Tabel Referensi'!$A$2:$A$601,'Tabel Referensi'!$C$2:$C$601)</f>
        <v>088449972787</v>
      </c>
      <c r="D39" t="str">
        <f>_xlfn.XLOOKUP(A39,'Tabel Referensi'!$A$2:$A$601,'Tabel Referensi'!$D$2:$D$601)</f>
        <v>Malang</v>
      </c>
    </row>
    <row r="40" spans="1:4" x14ac:dyDescent="0.35">
      <c r="A40" s="2">
        <v>10274</v>
      </c>
      <c r="B40" t="str">
        <f>_xlfn.XLOOKUP(A40,'Tabel Referensi'!$A$2:$A$601,'Tabel Referensi'!$B$2:$B$601)</f>
        <v>Kiki Siregar</v>
      </c>
      <c r="C40" t="str">
        <f>_xlfn.XLOOKUP(A40,'Tabel Referensi'!$A$2:$A$601,'Tabel Referensi'!$C$2:$C$601)</f>
        <v>08272785760</v>
      </c>
      <c r="D40" t="str">
        <f>_xlfn.XLOOKUP(A40,'Tabel Referensi'!$A$2:$A$601,'Tabel Referensi'!$D$2:$D$601)</f>
        <v>Malang</v>
      </c>
    </row>
    <row r="41" spans="1:4" x14ac:dyDescent="0.35">
      <c r="A41" s="2">
        <v>10181</v>
      </c>
      <c r="B41" t="str">
        <f>_xlfn.XLOOKUP(A41,'Tabel Referensi'!$A$2:$A$601,'Tabel Referensi'!$B$2:$B$601)</f>
        <v>Zaki Gunawan</v>
      </c>
      <c r="C41" t="str">
        <f>_xlfn.XLOOKUP(A41,'Tabel Referensi'!$A$2:$A$601,'Tabel Referensi'!$C$2:$C$601)</f>
        <v>088230982150</v>
      </c>
      <c r="D41" t="str">
        <f>_xlfn.XLOOKUP(A41,'Tabel Referensi'!$A$2:$A$601,'Tabel Referensi'!$D$2:$D$601)</f>
        <v>Surabaya</v>
      </c>
    </row>
    <row r="42" spans="1:4" x14ac:dyDescent="0.35">
      <c r="A42" s="2">
        <v>10031</v>
      </c>
      <c r="B42" t="str">
        <f>_xlfn.XLOOKUP(A42,'Tabel Referensi'!$A$2:$A$601,'Tabel Referensi'!$B$2:$B$601)</f>
        <v>Chandra Kusuma</v>
      </c>
      <c r="C42" t="str">
        <f>_xlfn.XLOOKUP(A42,'Tabel Referensi'!$A$2:$A$601,'Tabel Referensi'!$C$2:$C$601)</f>
        <v>088527354549</v>
      </c>
      <c r="D42" t="str">
        <f>_xlfn.XLOOKUP(A42,'Tabel Referensi'!$A$2:$A$601,'Tabel Referensi'!$D$2:$D$601)</f>
        <v>Palembang</v>
      </c>
    </row>
    <row r="43" spans="1:4" x14ac:dyDescent="0.35">
      <c r="A43" s="2">
        <v>10179</v>
      </c>
      <c r="B43" t="str">
        <f>_xlfn.XLOOKUP(A43,'Tabel Referensi'!$A$2:$A$601,'Tabel Referensi'!$B$2:$B$601)</f>
        <v>Ahmad Santoso</v>
      </c>
      <c r="C43" t="str">
        <f>_xlfn.XLOOKUP(A43,'Tabel Referensi'!$A$2:$A$601,'Tabel Referensi'!$C$2:$C$601)</f>
        <v/>
      </c>
      <c r="D43" t="str">
        <f>_xlfn.XLOOKUP(A43,'Tabel Referensi'!$A$2:$A$601,'Tabel Referensi'!$D$2:$D$601)</f>
        <v>Jakarta</v>
      </c>
    </row>
    <row r="44" spans="1:4" x14ac:dyDescent="0.35">
      <c r="A44" s="2">
        <v>10400</v>
      </c>
      <c r="B44" t="str">
        <f>_xlfn.XLOOKUP(A44,'Tabel Referensi'!$A$2:$A$601,'Tabel Referensi'!$B$2:$B$601)</f>
        <v>Vina Setiawan</v>
      </c>
      <c r="C44" t="str">
        <f>_xlfn.XLOOKUP(A44,'Tabel Referensi'!$A$2:$A$601,'Tabel Referensi'!$C$2:$C$601)</f>
        <v>088968549822</v>
      </c>
      <c r="D44" t="str">
        <f>_xlfn.XLOOKUP(A44,'Tabel Referensi'!$A$2:$A$601,'Tabel Referensi'!$D$2:$D$601)</f>
        <v>Makassar</v>
      </c>
    </row>
    <row r="45" spans="1:4" x14ac:dyDescent="0.35">
      <c r="A45" s="2">
        <v>10444</v>
      </c>
      <c r="B45" t="str">
        <f>_xlfn.XLOOKUP(A45,'Tabel Referensi'!$A$2:$A$601,'Tabel Referensi'!$B$2:$B$601)</f>
        <v>Made Pratama</v>
      </c>
      <c r="C45" t="str">
        <f>_xlfn.XLOOKUP(A45,'Tabel Referensi'!$A$2:$A$601,'Tabel Referensi'!$C$2:$C$601)</f>
        <v>088742333059</v>
      </c>
      <c r="D45" t="str">
        <f>_xlfn.XLOOKUP(A45,'Tabel Referensi'!$A$2:$A$601,'Tabel Referensi'!$D$2:$D$601)</f>
        <v>Yogyakarta</v>
      </c>
    </row>
    <row r="46" spans="1:4" x14ac:dyDescent="0.35">
      <c r="A46" s="2">
        <v>10403</v>
      </c>
      <c r="B46" t="str">
        <f>_xlfn.XLOOKUP(A46,'Tabel Referensi'!$A$2:$A$601,'Tabel Referensi'!$B$2:$B$601)</f>
        <v>Zaki Gunawan</v>
      </c>
      <c r="C46" t="str">
        <f>_xlfn.XLOOKUP(A46,'Tabel Referensi'!$A$2:$A$601,'Tabel Referensi'!$C$2:$C$601)</f>
        <v>088247395003</v>
      </c>
      <c r="D46" t="str">
        <f>_xlfn.XLOOKUP(A46,'Tabel Referensi'!$A$2:$A$601,'Tabel Referensi'!$D$2:$D$601)</f>
        <v>Bandung</v>
      </c>
    </row>
    <row r="47" spans="1:4" x14ac:dyDescent="0.35">
      <c r="A47" s="2">
        <v>10382</v>
      </c>
      <c r="B47" t="str">
        <f>_xlfn.XLOOKUP(A47,'Tabel Referensi'!$A$2:$A$601,'Tabel Referensi'!$B$2:$B$601)</f>
        <v>Putri Saputra</v>
      </c>
      <c r="C47" t="str">
        <f>_xlfn.XLOOKUP(A47,'Tabel Referensi'!$A$2:$A$601,'Tabel Referensi'!$C$2:$C$601)</f>
        <v/>
      </c>
      <c r="D47" t="str">
        <f>_xlfn.XLOOKUP(A47,'Tabel Referensi'!$A$2:$A$601,'Tabel Referensi'!$D$2:$D$601)</f>
        <v>Surabaya</v>
      </c>
    </row>
    <row r="48" spans="1:4" x14ac:dyDescent="0.35">
      <c r="A48" s="2">
        <v>10576</v>
      </c>
      <c r="B48" t="str">
        <f>_xlfn.XLOOKUP(A48,'Tabel Referensi'!$A$2:$A$601,'Tabel Referensi'!$B$2:$B$601)</f>
        <v>Umi Marpaung</v>
      </c>
      <c r="C48" t="str">
        <f>_xlfn.XLOOKUP(A48,'Tabel Referensi'!$A$2:$A$601,'Tabel Referensi'!$C$2:$C$601)</f>
        <v>088788116162</v>
      </c>
      <c r="D48" t="str">
        <f>_xlfn.XLOOKUP(A48,'Tabel Referensi'!$A$2:$A$601,'Tabel Referensi'!$D$2:$D$601)</f>
        <v>Semarang</v>
      </c>
    </row>
    <row r="49" spans="1:4" x14ac:dyDescent="0.35">
      <c r="A49" s="2">
        <v>10321</v>
      </c>
      <c r="B49" t="str">
        <f>_xlfn.XLOOKUP(A49,'Tabel Referensi'!$A$2:$A$601,'Tabel Referensi'!$B$2:$B$601)</f>
        <v>Erik Rahayu</v>
      </c>
      <c r="C49" t="str">
        <f>_xlfn.XLOOKUP(A49,'Tabel Referensi'!$A$2:$A$601,'Tabel Referensi'!$C$2:$C$601)</f>
        <v>08069375150</v>
      </c>
      <c r="D49" t="str">
        <f>_xlfn.XLOOKUP(A49,'Tabel Referensi'!$A$2:$A$601,'Tabel Referensi'!$D$2:$D$601)</f>
        <v>Surabaya</v>
      </c>
    </row>
    <row r="50" spans="1:4" x14ac:dyDescent="0.35">
      <c r="A50" s="2">
        <v>10409</v>
      </c>
      <c r="B50" t="str">
        <f>_xlfn.XLOOKUP(A50,'Tabel Referensi'!$A$2:$A$601,'Tabel Referensi'!$B$2:$B$601)</f>
        <v>Andi Santoso</v>
      </c>
      <c r="C50" t="str">
        <f>_xlfn.XLOOKUP(A50,'Tabel Referensi'!$A$2:$A$601,'Tabel Referensi'!$C$2:$C$601)</f>
        <v>088431115083</v>
      </c>
      <c r="D50" t="str">
        <f>_xlfn.XLOOKUP(A50,'Tabel Referensi'!$A$2:$A$601,'Tabel Referensi'!$D$2:$D$601)</f>
        <v>Bandung</v>
      </c>
    </row>
    <row r="51" spans="1:4" x14ac:dyDescent="0.35">
      <c r="A51" s="2">
        <v>10520</v>
      </c>
      <c r="B51" t="str">
        <f>_xlfn.XLOOKUP(A51,'Tabel Referensi'!$A$2:$A$601,'Tabel Referensi'!$B$2:$B$601)</f>
        <v>Kiki Kusuma</v>
      </c>
      <c r="C51" t="str">
        <f>_xlfn.XLOOKUP(A51,'Tabel Referensi'!$A$2:$A$601,'Tabel Referensi'!$C$2:$C$601)</f>
        <v/>
      </c>
      <c r="D51" t="str">
        <f>_xlfn.XLOOKUP(A51,'Tabel Referensi'!$A$2:$A$601,'Tabel Referensi'!$D$2:$D$601)</f>
        <v>Surabaya</v>
      </c>
    </row>
    <row r="52" spans="1:4" x14ac:dyDescent="0.35">
      <c r="A52" s="2">
        <v>10004</v>
      </c>
      <c r="B52" t="str">
        <f>_xlfn.XLOOKUP(A52,'Tabel Referensi'!$A$2:$A$601,'Tabel Referensi'!$B$2:$B$601)</f>
        <v>Vina Nasution</v>
      </c>
      <c r="C52" t="str">
        <f>_xlfn.XLOOKUP(A52,'Tabel Referensi'!$A$2:$A$601,'Tabel Referensi'!$C$2:$C$601)</f>
        <v>088965328710</v>
      </c>
      <c r="D52" t="str">
        <f>_xlfn.XLOOKUP(A52,'Tabel Referensi'!$A$2:$A$601,'Tabel Referensi'!$D$2:$D$601)</f>
        <v>Palembang</v>
      </c>
    </row>
    <row r="53" spans="1:4" x14ac:dyDescent="0.35">
      <c r="A53" s="2">
        <v>10287</v>
      </c>
      <c r="B53" t="str">
        <f>_xlfn.XLOOKUP(A53,'Tabel Referensi'!$A$2:$A$601,'Tabel Referensi'!$B$2:$B$601)</f>
        <v>Eka Saputra</v>
      </c>
      <c r="C53" t="str">
        <f>_xlfn.XLOOKUP(A53,'Tabel Referensi'!$A$2:$A$601,'Tabel Referensi'!$C$2:$C$601)</f>
        <v>088969278687</v>
      </c>
      <c r="D53" t="str">
        <f>_xlfn.XLOOKUP(A53,'Tabel Referensi'!$A$2:$A$601,'Tabel Referensi'!$D$2:$D$601)</f>
        <v>Medan</v>
      </c>
    </row>
    <row r="54" spans="1:4" x14ac:dyDescent="0.35">
      <c r="A54" s="2">
        <v>10470</v>
      </c>
      <c r="B54" t="str">
        <f>_xlfn.XLOOKUP(A54,'Tabel Referensi'!$A$2:$A$601,'Tabel Referensi'!$B$2:$B$601)</f>
        <v>Sari Nugroho</v>
      </c>
      <c r="C54" t="str">
        <f>_xlfn.XLOOKUP(A54,'Tabel Referensi'!$A$2:$A$601,'Tabel Referensi'!$C$2:$C$601)</f>
        <v>088059551842</v>
      </c>
      <c r="D54" t="str">
        <f>_xlfn.XLOOKUP(A54,'Tabel Referensi'!$A$2:$A$601,'Tabel Referensi'!$D$2:$D$601)</f>
        <v>Medan</v>
      </c>
    </row>
    <row r="55" spans="1:4" x14ac:dyDescent="0.35">
      <c r="A55" s="2">
        <v>10154</v>
      </c>
      <c r="B55" t="str">
        <f>_xlfn.XLOOKUP(A55,'Tabel Referensi'!$A$2:$A$601,'Tabel Referensi'!$B$2:$B$601)</f>
        <v>Budi Santoso</v>
      </c>
      <c r="C55" t="str">
        <f>_xlfn.XLOOKUP(A55,'Tabel Referensi'!$A$2:$A$601,'Tabel Referensi'!$C$2:$C$601)</f>
        <v>088244720999</v>
      </c>
      <c r="D55" t="str">
        <f>_xlfn.XLOOKUP(A55,'Tabel Referensi'!$A$2:$A$601,'Tabel Referensi'!$D$2:$D$601)</f>
        <v>Makassar</v>
      </c>
    </row>
    <row r="56" spans="1:4" x14ac:dyDescent="0.35">
      <c r="A56" s="2">
        <v>10562</v>
      </c>
      <c r="B56" t="str">
        <f>_xlfn.XLOOKUP(A56,'Tabel Referensi'!$A$2:$A$601,'Tabel Referensi'!$B$2:$B$601)</f>
        <v>Eka Pratama</v>
      </c>
      <c r="C56" t="str">
        <f>_xlfn.XLOOKUP(A56,'Tabel Referensi'!$A$2:$A$601,'Tabel Referensi'!$C$2:$C$601)</f>
        <v/>
      </c>
      <c r="D56" t="str">
        <f>_xlfn.XLOOKUP(A56,'Tabel Referensi'!$A$2:$A$601,'Tabel Referensi'!$D$2:$D$601)</f>
        <v>Denpasar</v>
      </c>
    </row>
    <row r="57" spans="1:4" x14ac:dyDescent="0.35">
      <c r="A57" s="2">
        <v>10547</v>
      </c>
      <c r="B57" t="str">
        <f>_xlfn.XLOOKUP(A57,'Tabel Referensi'!$A$2:$A$601,'Tabel Referensi'!$B$2:$B$601)</f>
        <v>Hadi Simatupang</v>
      </c>
      <c r="C57" t="str">
        <f>_xlfn.XLOOKUP(A57,'Tabel Referensi'!$A$2:$A$601,'Tabel Referensi'!$C$2:$C$601)</f>
        <v>088104967066</v>
      </c>
      <c r="D57" t="str">
        <f>_xlfn.XLOOKUP(A57,'Tabel Referensi'!$A$2:$A$601,'Tabel Referensi'!$D$2:$D$601)</f>
        <v>Jakarta</v>
      </c>
    </row>
    <row r="58" spans="1:4" x14ac:dyDescent="0.35">
      <c r="A58" s="2">
        <v>10481</v>
      </c>
      <c r="B58" t="str">
        <f>_xlfn.XLOOKUP(A58,'Tabel Referensi'!$A$2:$A$601,'Tabel Referensi'!$B$2:$B$601)</f>
        <v>Eka Halim</v>
      </c>
      <c r="C58" t="str">
        <f>_xlfn.XLOOKUP(A58,'Tabel Referensi'!$A$2:$A$601,'Tabel Referensi'!$C$2:$C$601)</f>
        <v>088847657041</v>
      </c>
      <c r="D58" t="str">
        <f>_xlfn.XLOOKUP(A58,'Tabel Referensi'!$A$2:$A$601,'Tabel Referensi'!$D$2:$D$601)</f>
        <v>Jakarta</v>
      </c>
    </row>
    <row r="59" spans="1:4" x14ac:dyDescent="0.35">
      <c r="A59" s="2">
        <v>10373</v>
      </c>
      <c r="B59" t="str">
        <f>_xlfn.XLOOKUP(A59,'Tabel Referensi'!$A$2:$A$601,'Tabel Referensi'!$B$2:$B$601)</f>
        <v>Yani Wijaya</v>
      </c>
      <c r="C59" t="str">
        <f>_xlfn.XLOOKUP(A59,'Tabel Referensi'!$A$2:$A$601,'Tabel Referensi'!$C$2:$C$601)</f>
        <v>088135247871</v>
      </c>
      <c r="D59" t="str">
        <f>_xlfn.XLOOKUP(A59,'Tabel Referensi'!$A$2:$A$601,'Tabel Referensi'!$D$2:$D$601)</f>
        <v>Palembang</v>
      </c>
    </row>
    <row r="60" spans="1:4" x14ac:dyDescent="0.35">
      <c r="A60" s="2">
        <v>10386</v>
      </c>
      <c r="B60" t="str">
        <f>_xlfn.XLOOKUP(A60,'Tabel Referensi'!$A$2:$A$601,'Tabel Referensi'!$B$2:$B$601)</f>
        <v>Budi Nasution</v>
      </c>
      <c r="C60" t="str">
        <f>_xlfn.XLOOKUP(A60,'Tabel Referensi'!$A$2:$A$601,'Tabel Referensi'!$C$2:$C$601)</f>
        <v>088182422412</v>
      </c>
      <c r="D60" t="str">
        <f>_xlfn.XLOOKUP(A60,'Tabel Referensi'!$A$2:$A$601,'Tabel Referensi'!$D$2:$D$601)</f>
        <v>Yogyakarta</v>
      </c>
    </row>
    <row r="61" spans="1:4" x14ac:dyDescent="0.35">
      <c r="A61" s="2">
        <v>10163</v>
      </c>
      <c r="B61" t="str">
        <f>_xlfn.XLOOKUP(A61,'Tabel Referensi'!$A$2:$A$601,'Tabel Referensi'!$B$2:$B$601)</f>
        <v>Vina Santoso</v>
      </c>
      <c r="C61" t="str">
        <f>_xlfn.XLOOKUP(A61,'Tabel Referensi'!$A$2:$A$601,'Tabel Referensi'!$C$2:$C$601)</f>
        <v>08844431069</v>
      </c>
      <c r="D61" t="str">
        <f>_xlfn.XLOOKUP(A61,'Tabel Referensi'!$A$2:$A$601,'Tabel Referensi'!$D$2:$D$601)</f>
        <v>Makassar</v>
      </c>
    </row>
    <row r="62" spans="1:4" x14ac:dyDescent="0.35">
      <c r="A62" s="2">
        <v>10388</v>
      </c>
      <c r="B62" t="str">
        <f>_xlfn.XLOOKUP(A62,'Tabel Referensi'!$A$2:$A$601,'Tabel Referensi'!$B$2:$B$601)</f>
        <v>Rian Siregar</v>
      </c>
      <c r="C62" t="str">
        <f>_xlfn.XLOOKUP(A62,'Tabel Referensi'!$A$2:$A$601,'Tabel Referensi'!$C$2:$C$601)</f>
        <v>088304891382</v>
      </c>
      <c r="D62" t="str">
        <f>_xlfn.XLOOKUP(A62,'Tabel Referensi'!$A$2:$A$601,'Tabel Referensi'!$D$2:$D$601)</f>
        <v>Semarang</v>
      </c>
    </row>
    <row r="63" spans="1:4" x14ac:dyDescent="0.35">
      <c r="A63" s="2">
        <v>10361</v>
      </c>
      <c r="B63" t="str">
        <f>_xlfn.XLOOKUP(A63,'Tabel Referensi'!$A$2:$A$601,'Tabel Referensi'!$B$2:$B$601)</f>
        <v>Kiki Wijaya</v>
      </c>
      <c r="C63" t="str">
        <f>_xlfn.XLOOKUP(A63,'Tabel Referensi'!$A$2:$A$601,'Tabel Referensi'!$C$2:$C$601)</f>
        <v>088189616423</v>
      </c>
      <c r="D63" t="str">
        <f>_xlfn.XLOOKUP(A63,'Tabel Referensi'!$A$2:$A$601,'Tabel Referensi'!$D$2:$D$601)</f>
        <v>Palembang</v>
      </c>
    </row>
    <row r="64" spans="1:4" x14ac:dyDescent="0.35">
      <c r="A64" s="2">
        <v>10355</v>
      </c>
      <c r="B64" t="str">
        <f>_xlfn.XLOOKUP(A64,'Tabel Referensi'!$A$2:$A$601,'Tabel Referensi'!$B$2:$B$601)</f>
        <v>Oki Nugroho</v>
      </c>
      <c r="C64" t="str">
        <f>_xlfn.XLOOKUP(A64,'Tabel Referensi'!$A$2:$A$601,'Tabel Referensi'!$C$2:$C$601)</f>
        <v>088669411800</v>
      </c>
      <c r="D64" t="str">
        <f>_xlfn.XLOOKUP(A64,'Tabel Referensi'!$A$2:$A$601,'Tabel Referensi'!$D$2:$D$601)</f>
        <v>Malang</v>
      </c>
    </row>
    <row r="65" spans="1:4" x14ac:dyDescent="0.35">
      <c r="A65" s="2">
        <v>10229</v>
      </c>
      <c r="B65" t="str">
        <f>_xlfn.XLOOKUP(A65,'Tabel Referensi'!$A$2:$A$601,'Tabel Referensi'!$B$2:$B$601)</f>
        <v>Dian Setiawan</v>
      </c>
      <c r="C65" t="str">
        <f>_xlfn.XLOOKUP(A65,'Tabel Referensi'!$A$2:$A$601,'Tabel Referensi'!$C$2:$C$601)</f>
        <v>088365564729</v>
      </c>
      <c r="D65" t="str">
        <f>_xlfn.XLOOKUP(A65,'Tabel Referensi'!$A$2:$A$601,'Tabel Referensi'!$D$2:$D$601)</f>
        <v>Denpasar</v>
      </c>
    </row>
    <row r="66" spans="1:4" x14ac:dyDescent="0.35">
      <c r="A66" s="2">
        <v>10511</v>
      </c>
      <c r="B66" t="str">
        <f>_xlfn.XLOOKUP(A66,'Tabel Referensi'!$A$2:$A$601,'Tabel Referensi'!$B$2:$B$601)</f>
        <v>Chandra Marpaung</v>
      </c>
      <c r="C66" t="str">
        <f>_xlfn.XLOOKUP(A66,'Tabel Referensi'!$A$2:$A$601,'Tabel Referensi'!$C$2:$C$601)</f>
        <v/>
      </c>
      <c r="D66" t="str">
        <f>_xlfn.XLOOKUP(A66,'Tabel Referensi'!$A$2:$A$601,'Tabel Referensi'!$D$2:$D$601)</f>
        <v>Semarang</v>
      </c>
    </row>
    <row r="67" spans="1:4" x14ac:dyDescent="0.35">
      <c r="A67" s="2">
        <v>10106</v>
      </c>
      <c r="B67" t="str">
        <f>_xlfn.XLOOKUP(A67,'Tabel Referensi'!$A$2:$A$601,'Tabel Referensi'!$B$2:$B$601)</f>
        <v>Dewi Santoso</v>
      </c>
      <c r="C67" t="str">
        <f>_xlfn.XLOOKUP(A67,'Tabel Referensi'!$A$2:$A$601,'Tabel Referensi'!$C$2:$C$601)</f>
        <v>088633752431</v>
      </c>
      <c r="D67" t="str">
        <f>_xlfn.XLOOKUP(A67,'Tabel Referensi'!$A$2:$A$601,'Tabel Referensi'!$D$2:$D$601)</f>
        <v>Makassar</v>
      </c>
    </row>
    <row r="68" spans="1:4" x14ac:dyDescent="0.35">
      <c r="A68" s="2">
        <v>10406</v>
      </c>
      <c r="B68" t="str">
        <f>_xlfn.XLOOKUP(A68,'Tabel Referensi'!$A$2:$A$601,'Tabel Referensi'!$B$2:$B$601)</f>
        <v>Bella Lestari</v>
      </c>
      <c r="C68" t="str">
        <f>_xlfn.XLOOKUP(A68,'Tabel Referensi'!$A$2:$A$601,'Tabel Referensi'!$C$2:$C$601)</f>
        <v>088912868578</v>
      </c>
      <c r="D68" t="str">
        <f>_xlfn.XLOOKUP(A68,'Tabel Referensi'!$A$2:$A$601,'Tabel Referensi'!$D$2:$D$601)</f>
        <v>Bandung</v>
      </c>
    </row>
    <row r="69" spans="1:4" x14ac:dyDescent="0.35">
      <c r="A69" s="2">
        <v>10599</v>
      </c>
      <c r="B69" t="str">
        <f>_xlfn.XLOOKUP(A69,'Tabel Referensi'!$A$2:$A$601,'Tabel Referensi'!$B$2:$B$601)</f>
        <v>Lina Pratama</v>
      </c>
      <c r="C69" t="str">
        <f>_xlfn.XLOOKUP(A69,'Tabel Referensi'!$A$2:$A$601,'Tabel Referensi'!$C$2:$C$601)</f>
        <v>08660464197</v>
      </c>
      <c r="D69" t="str">
        <f>_xlfn.XLOOKUP(A69,'Tabel Referensi'!$A$2:$A$601,'Tabel Referensi'!$D$2:$D$601)</f>
        <v>Medan</v>
      </c>
    </row>
    <row r="70" spans="1:4" x14ac:dyDescent="0.35">
      <c r="A70" s="2">
        <v>10495</v>
      </c>
      <c r="B70" t="str">
        <f>_xlfn.XLOOKUP(A70,'Tabel Referensi'!$A$2:$A$601,'Tabel Referensi'!$B$2:$B$601)</f>
        <v>Fitri Lestari</v>
      </c>
      <c r="C70" t="str">
        <f>_xlfn.XLOOKUP(A70,'Tabel Referensi'!$A$2:$A$601,'Tabel Referensi'!$C$2:$C$601)</f>
        <v>088910336829</v>
      </c>
      <c r="D70" t="str">
        <f>_xlfn.XLOOKUP(A70,'Tabel Referensi'!$A$2:$A$601,'Tabel Referensi'!$D$2:$D$601)</f>
        <v>Yogyakarta</v>
      </c>
    </row>
    <row r="71" spans="1:4" x14ac:dyDescent="0.35">
      <c r="A71" s="2">
        <v>10032</v>
      </c>
      <c r="B71" t="str">
        <f>_xlfn.XLOOKUP(A71,'Tabel Referensi'!$A$2:$A$601,'Tabel Referensi'!$B$2:$B$601)</f>
        <v>Andi Hidayat</v>
      </c>
      <c r="C71" t="str">
        <f>_xlfn.XLOOKUP(A71,'Tabel Referensi'!$A$2:$A$601,'Tabel Referensi'!$C$2:$C$601)</f>
        <v>088014363495</v>
      </c>
      <c r="D71" t="str">
        <f>_xlfn.XLOOKUP(A71,'Tabel Referensi'!$A$2:$A$601,'Tabel Referensi'!$D$2:$D$601)</f>
        <v>Bandung</v>
      </c>
    </row>
    <row r="72" spans="1:4" x14ac:dyDescent="0.35">
      <c r="A72" s="2">
        <v>10202</v>
      </c>
      <c r="B72" t="str">
        <f>_xlfn.XLOOKUP(A72,'Tabel Referensi'!$A$2:$A$601,'Tabel Referensi'!$B$2:$B$601)</f>
        <v>Yani Gunawan</v>
      </c>
      <c r="C72" t="str">
        <f>_xlfn.XLOOKUP(A72,'Tabel Referensi'!$A$2:$A$601,'Tabel Referensi'!$C$2:$C$601)</f>
        <v>08667665061</v>
      </c>
      <c r="D72" t="str">
        <f>_xlfn.XLOOKUP(A72,'Tabel Referensi'!$A$2:$A$601,'Tabel Referensi'!$D$2:$D$601)</f>
        <v>Jakarta</v>
      </c>
    </row>
    <row r="73" spans="1:4" x14ac:dyDescent="0.35">
      <c r="A73" s="2">
        <v>10198</v>
      </c>
      <c r="B73" t="str">
        <f>_xlfn.XLOOKUP(A73,'Tabel Referensi'!$A$2:$A$601,'Tabel Referensi'!$B$2:$B$601)</f>
        <v>Made Wijaya</v>
      </c>
      <c r="C73" t="str">
        <f>_xlfn.XLOOKUP(A73,'Tabel Referensi'!$A$2:$A$601,'Tabel Referensi'!$C$2:$C$601)</f>
        <v>08202590947</v>
      </c>
      <c r="D73" t="str">
        <f>_xlfn.XLOOKUP(A73,'Tabel Referensi'!$A$2:$A$601,'Tabel Referensi'!$D$2:$D$601)</f>
        <v>Semarang</v>
      </c>
    </row>
    <row r="74" spans="1:4" x14ac:dyDescent="0.35">
      <c r="A74" s="2">
        <v>10341</v>
      </c>
      <c r="B74" t="str">
        <f>_xlfn.XLOOKUP(A74,'Tabel Referensi'!$A$2:$A$601,'Tabel Referensi'!$B$2:$B$601)</f>
        <v>Budi Simatupang</v>
      </c>
      <c r="C74" t="str">
        <f>_xlfn.XLOOKUP(A74,'Tabel Referensi'!$A$2:$A$601,'Tabel Referensi'!$C$2:$C$601)</f>
        <v>08659171357</v>
      </c>
      <c r="D74" t="str">
        <f>_xlfn.XLOOKUP(A74,'Tabel Referensi'!$A$2:$A$601,'Tabel Referensi'!$D$2:$D$601)</f>
        <v>Malang</v>
      </c>
    </row>
    <row r="75" spans="1:4" x14ac:dyDescent="0.35">
      <c r="A75" s="2">
        <v>10420</v>
      </c>
      <c r="B75" t="str">
        <f>_xlfn.XLOOKUP(A75,'Tabel Referensi'!$A$2:$A$601,'Tabel Referensi'!$B$2:$B$601)</f>
        <v>Fajar Kusuma</v>
      </c>
      <c r="C75" t="str">
        <f>_xlfn.XLOOKUP(A75,'Tabel Referensi'!$A$2:$A$601,'Tabel Referensi'!$C$2:$C$601)</f>
        <v>088081647090</v>
      </c>
      <c r="D75" t="str">
        <f>_xlfn.XLOOKUP(A75,'Tabel Referensi'!$A$2:$A$601,'Tabel Referensi'!$D$2:$D$601)</f>
        <v>Semarang</v>
      </c>
    </row>
    <row r="76" spans="1:4" x14ac:dyDescent="0.35">
      <c r="A76" s="2">
        <v>10081</v>
      </c>
      <c r="B76" t="str">
        <f>_xlfn.XLOOKUP(A76,'Tabel Referensi'!$A$2:$A$601,'Tabel Referensi'!$B$2:$B$601)</f>
        <v>Dewi Kusuma</v>
      </c>
      <c r="C76" t="str">
        <f>_xlfn.XLOOKUP(A76,'Tabel Referensi'!$A$2:$A$601,'Tabel Referensi'!$C$2:$C$601)</f>
        <v>088596401658</v>
      </c>
      <c r="D76" t="str">
        <f>_xlfn.XLOOKUP(A76,'Tabel Referensi'!$A$2:$A$601,'Tabel Referensi'!$D$2:$D$601)</f>
        <v>Semarang</v>
      </c>
    </row>
    <row r="77" spans="1:4" x14ac:dyDescent="0.35">
      <c r="A77" s="2">
        <v>10017</v>
      </c>
      <c r="B77" t="str">
        <f>_xlfn.XLOOKUP(A77,'Tabel Referensi'!$A$2:$A$601,'Tabel Referensi'!$B$2:$B$601)</f>
        <v>Erik Marpaung</v>
      </c>
      <c r="C77" t="str">
        <f>_xlfn.XLOOKUP(A77,'Tabel Referensi'!$A$2:$A$601,'Tabel Referensi'!$C$2:$C$601)</f>
        <v>088342160733</v>
      </c>
      <c r="D77" t="str">
        <f>_xlfn.XLOOKUP(A77,'Tabel Referensi'!$A$2:$A$601,'Tabel Referensi'!$D$2:$D$601)</f>
        <v>Surabaya</v>
      </c>
    </row>
    <row r="78" spans="1:4" x14ac:dyDescent="0.35">
      <c r="A78" s="2">
        <v>10490</v>
      </c>
      <c r="B78" t="str">
        <f>_xlfn.XLOOKUP(A78,'Tabel Referensi'!$A$2:$A$601,'Tabel Referensi'!$B$2:$B$601)</f>
        <v>Dian Pratama</v>
      </c>
      <c r="C78" t="str">
        <f>_xlfn.XLOOKUP(A78,'Tabel Referensi'!$A$2:$A$601,'Tabel Referensi'!$C$2:$C$601)</f>
        <v>088787112166</v>
      </c>
      <c r="D78" t="str">
        <f>_xlfn.XLOOKUP(A78,'Tabel Referensi'!$A$2:$A$601,'Tabel Referensi'!$D$2:$D$601)</f>
        <v>Makassar</v>
      </c>
    </row>
    <row r="79" spans="1:4" x14ac:dyDescent="0.35">
      <c r="A79" s="2">
        <v>10052</v>
      </c>
      <c r="B79" t="str">
        <f>_xlfn.XLOOKUP(A79,'Tabel Referensi'!$A$2:$A$601,'Tabel Referensi'!$B$2:$B$601)</f>
        <v>Oki Halim</v>
      </c>
      <c r="C79" t="str">
        <f>_xlfn.XLOOKUP(A79,'Tabel Referensi'!$A$2:$A$601,'Tabel Referensi'!$C$2:$C$601)</f>
        <v>088931746120</v>
      </c>
      <c r="D79" t="str">
        <f>_xlfn.XLOOKUP(A79,'Tabel Referensi'!$A$2:$A$601,'Tabel Referensi'!$D$2:$D$601)</f>
        <v>Malang</v>
      </c>
    </row>
    <row r="80" spans="1:4" x14ac:dyDescent="0.35">
      <c r="A80" s="2">
        <v>10448</v>
      </c>
      <c r="B80" t="str">
        <f>_xlfn.XLOOKUP(A80,'Tabel Referensi'!$A$2:$A$601,'Tabel Referensi'!$B$2:$B$601)</f>
        <v>Ahmad Hidayat</v>
      </c>
      <c r="C80" t="str">
        <f>_xlfn.XLOOKUP(A80,'Tabel Referensi'!$A$2:$A$601,'Tabel Referensi'!$C$2:$C$601)</f>
        <v>088321840118</v>
      </c>
      <c r="D80" t="str">
        <f>_xlfn.XLOOKUP(A80,'Tabel Referensi'!$A$2:$A$601,'Tabel Referensi'!$D$2:$D$601)</f>
        <v>Surabaya</v>
      </c>
    </row>
    <row r="81" spans="1:4" x14ac:dyDescent="0.35">
      <c r="A81" s="2">
        <v>10178</v>
      </c>
      <c r="B81" t="str">
        <f>_xlfn.XLOOKUP(A81,'Tabel Referensi'!$A$2:$A$601,'Tabel Referensi'!$B$2:$B$601)</f>
        <v>Nita Wijaya</v>
      </c>
      <c r="C81" t="str">
        <f>_xlfn.XLOOKUP(A81,'Tabel Referensi'!$A$2:$A$601,'Tabel Referensi'!$C$2:$C$601)</f>
        <v>088752500743</v>
      </c>
      <c r="D81" t="str">
        <f>_xlfn.XLOOKUP(A81,'Tabel Referensi'!$A$2:$A$601,'Tabel Referensi'!$D$2:$D$601)</f>
        <v>Surabaya</v>
      </c>
    </row>
    <row r="82" spans="1:4" x14ac:dyDescent="0.35">
      <c r="A82" s="2">
        <v>10101</v>
      </c>
      <c r="B82" t="str">
        <f>_xlfn.XLOOKUP(A82,'Tabel Referensi'!$A$2:$A$601,'Tabel Referensi'!$B$2:$B$601)</f>
        <v>Fajar Siregar</v>
      </c>
      <c r="C82" t="str">
        <f>_xlfn.XLOOKUP(A82,'Tabel Referensi'!$A$2:$A$601,'Tabel Referensi'!$C$2:$C$601)</f>
        <v>08046374549</v>
      </c>
      <c r="D82" t="str">
        <f>_xlfn.XLOOKUP(A82,'Tabel Referensi'!$A$2:$A$601,'Tabel Referensi'!$D$2:$D$601)</f>
        <v>Denpasar</v>
      </c>
    </row>
    <row r="83" spans="1:4" x14ac:dyDescent="0.35">
      <c r="A83" s="2">
        <v>10276</v>
      </c>
      <c r="B83" t="str">
        <f>_xlfn.XLOOKUP(A83,'Tabel Referensi'!$A$2:$A$601,'Tabel Referensi'!$B$2:$B$601)</f>
        <v>Yani Gunawan</v>
      </c>
      <c r="C83" t="str">
        <f>_xlfn.XLOOKUP(A83,'Tabel Referensi'!$A$2:$A$601,'Tabel Referensi'!$C$2:$C$601)</f>
        <v>088215031780</v>
      </c>
      <c r="D83" t="str">
        <f>_xlfn.XLOOKUP(A83,'Tabel Referensi'!$A$2:$A$601,'Tabel Referensi'!$D$2:$D$601)</f>
        <v>Semarang</v>
      </c>
    </row>
    <row r="84" spans="1:4" x14ac:dyDescent="0.35">
      <c r="A84" s="2">
        <v>10423</v>
      </c>
      <c r="B84" t="str">
        <f>_xlfn.XLOOKUP(A84,'Tabel Referensi'!$A$2:$A$601,'Tabel Referensi'!$B$2:$B$601)</f>
        <v>Lina Wijaya</v>
      </c>
      <c r="C84" t="str">
        <f>_xlfn.XLOOKUP(A84,'Tabel Referensi'!$A$2:$A$601,'Tabel Referensi'!$C$2:$C$601)</f>
        <v>088195625257</v>
      </c>
      <c r="D84" t="str">
        <f>_xlfn.XLOOKUP(A84,'Tabel Referensi'!$A$2:$A$601,'Tabel Referensi'!$D$2:$D$601)</f>
        <v>Bandung</v>
      </c>
    </row>
    <row r="85" spans="1:4" x14ac:dyDescent="0.35">
      <c r="A85" s="2">
        <v>10385</v>
      </c>
      <c r="B85" t="str">
        <f>_xlfn.XLOOKUP(A85,'Tabel Referensi'!$A$2:$A$601,'Tabel Referensi'!$B$2:$B$601)</f>
        <v>Ahmad Wijaya</v>
      </c>
      <c r="C85" t="str">
        <f>_xlfn.XLOOKUP(A85,'Tabel Referensi'!$A$2:$A$601,'Tabel Referensi'!$C$2:$C$601)</f>
        <v>088433971895</v>
      </c>
      <c r="D85" t="str">
        <f>_xlfn.XLOOKUP(A85,'Tabel Referensi'!$A$2:$A$601,'Tabel Referensi'!$D$2:$D$601)</f>
        <v>Denpasar</v>
      </c>
    </row>
    <row r="86" spans="1:4" x14ac:dyDescent="0.35">
      <c r="A86" s="2">
        <v>10419</v>
      </c>
      <c r="B86" t="str">
        <f>_xlfn.XLOOKUP(A86,'Tabel Referensi'!$A$2:$A$601,'Tabel Referensi'!$B$2:$B$601)</f>
        <v>Yani Lestari</v>
      </c>
      <c r="C86" t="str">
        <f>_xlfn.XLOOKUP(A86,'Tabel Referensi'!$A$2:$A$601,'Tabel Referensi'!$C$2:$C$601)</f>
        <v>08422091241</v>
      </c>
      <c r="D86" t="str">
        <f>_xlfn.XLOOKUP(A86,'Tabel Referensi'!$A$2:$A$601,'Tabel Referensi'!$D$2:$D$601)</f>
        <v>Palembang</v>
      </c>
    </row>
    <row r="87" spans="1:4" x14ac:dyDescent="0.35">
      <c r="A87" s="2">
        <v>10436</v>
      </c>
      <c r="B87" t="str">
        <f>_xlfn.XLOOKUP(A87,'Tabel Referensi'!$A$2:$A$601,'Tabel Referensi'!$B$2:$B$601)</f>
        <v>Lina Siregar</v>
      </c>
      <c r="C87" t="str">
        <f>_xlfn.XLOOKUP(A87,'Tabel Referensi'!$A$2:$A$601,'Tabel Referensi'!$C$2:$C$601)</f>
        <v/>
      </c>
      <c r="D87" t="str">
        <f>_xlfn.XLOOKUP(A87,'Tabel Referensi'!$A$2:$A$601,'Tabel Referensi'!$D$2:$D$601)</f>
        <v>Malang</v>
      </c>
    </row>
    <row r="88" spans="1:4" x14ac:dyDescent="0.35">
      <c r="A88" s="2">
        <v>10472</v>
      </c>
      <c r="B88" t="str">
        <f>_xlfn.XLOOKUP(A88,'Tabel Referensi'!$A$2:$A$601,'Tabel Referensi'!$B$2:$B$601)</f>
        <v>Vina Siregar</v>
      </c>
      <c r="C88" t="str">
        <f>_xlfn.XLOOKUP(A88,'Tabel Referensi'!$A$2:$A$601,'Tabel Referensi'!$C$2:$C$601)</f>
        <v>088239724042</v>
      </c>
      <c r="D88" t="str">
        <f>_xlfn.XLOOKUP(A88,'Tabel Referensi'!$A$2:$A$601,'Tabel Referensi'!$D$2:$D$601)</f>
        <v>Palembang</v>
      </c>
    </row>
    <row r="89" spans="1:4" x14ac:dyDescent="0.35">
      <c r="A89" s="2">
        <v>10461</v>
      </c>
      <c r="B89" t="str">
        <f>_xlfn.XLOOKUP(A89,'Tabel Referensi'!$A$2:$A$601,'Tabel Referensi'!$B$2:$B$601)</f>
        <v>Nita Gunawan</v>
      </c>
      <c r="C89" t="str">
        <f>_xlfn.XLOOKUP(A89,'Tabel Referensi'!$A$2:$A$601,'Tabel Referensi'!$C$2:$C$601)</f>
        <v>088256862110</v>
      </c>
      <c r="D89" t="str">
        <f>_xlfn.XLOOKUP(A89,'Tabel Referensi'!$A$2:$A$601,'Tabel Referensi'!$D$2:$D$601)</f>
        <v>Surabaya</v>
      </c>
    </row>
    <row r="90" spans="1:4" x14ac:dyDescent="0.35">
      <c r="A90" s="2">
        <v>10042</v>
      </c>
      <c r="B90" t="str">
        <f>_xlfn.XLOOKUP(A90,'Tabel Referensi'!$A$2:$A$601,'Tabel Referensi'!$B$2:$B$601)</f>
        <v>Ahmad Nasution</v>
      </c>
      <c r="C90" t="str">
        <f>_xlfn.XLOOKUP(A90,'Tabel Referensi'!$A$2:$A$601,'Tabel Referensi'!$C$2:$C$601)</f>
        <v/>
      </c>
      <c r="D90" t="str">
        <f>_xlfn.XLOOKUP(A90,'Tabel Referensi'!$A$2:$A$601,'Tabel Referensi'!$D$2:$D$601)</f>
        <v>Medan</v>
      </c>
    </row>
    <row r="91" spans="1:4" x14ac:dyDescent="0.35">
      <c r="A91" s="2">
        <v>10365</v>
      </c>
      <c r="B91" t="str">
        <f>_xlfn.XLOOKUP(A91,'Tabel Referensi'!$A$2:$A$601,'Tabel Referensi'!$B$2:$B$601)</f>
        <v>Indah Kusuma</v>
      </c>
      <c r="C91" t="str">
        <f>_xlfn.XLOOKUP(A91,'Tabel Referensi'!$A$2:$A$601,'Tabel Referensi'!$C$2:$C$601)</f>
        <v>088459779452</v>
      </c>
      <c r="D91" t="str">
        <f>_xlfn.XLOOKUP(A91,'Tabel Referensi'!$A$2:$A$601,'Tabel Referensi'!$D$2:$D$601)</f>
        <v>Medan</v>
      </c>
    </row>
    <row r="92" spans="1:4" x14ac:dyDescent="0.35">
      <c r="A92" s="2">
        <v>10206</v>
      </c>
      <c r="B92" t="str">
        <f>_xlfn.XLOOKUP(A92,'Tabel Referensi'!$A$2:$A$601,'Tabel Referensi'!$B$2:$B$601)</f>
        <v>Indah Pratama</v>
      </c>
      <c r="C92" t="str">
        <f>_xlfn.XLOOKUP(A92,'Tabel Referensi'!$A$2:$A$601,'Tabel Referensi'!$C$2:$C$601)</f>
        <v>088135775949</v>
      </c>
      <c r="D92" t="str">
        <f>_xlfn.XLOOKUP(A92,'Tabel Referensi'!$A$2:$A$601,'Tabel Referensi'!$D$2:$D$601)</f>
        <v>Malang</v>
      </c>
    </row>
    <row r="93" spans="1:4" x14ac:dyDescent="0.35">
      <c r="A93" s="2">
        <v>10047</v>
      </c>
      <c r="B93" t="str">
        <f>_xlfn.XLOOKUP(A93,'Tabel Referensi'!$A$2:$A$601,'Tabel Referensi'!$B$2:$B$601)</f>
        <v>Hadi Kusuma</v>
      </c>
      <c r="C93" t="str">
        <f>_xlfn.XLOOKUP(A93,'Tabel Referensi'!$A$2:$A$601,'Tabel Referensi'!$C$2:$C$601)</f>
        <v>088455623869</v>
      </c>
      <c r="D93" t="str">
        <f>_xlfn.XLOOKUP(A93,'Tabel Referensi'!$A$2:$A$601,'Tabel Referensi'!$D$2:$D$601)</f>
        <v>Jakarta</v>
      </c>
    </row>
    <row r="94" spans="1:4" x14ac:dyDescent="0.35">
      <c r="A94" s="2">
        <v>10347</v>
      </c>
      <c r="B94" t="str">
        <f>_xlfn.XLOOKUP(A94,'Tabel Referensi'!$A$2:$A$601,'Tabel Referensi'!$B$2:$B$601)</f>
        <v>Dian Kusuma</v>
      </c>
      <c r="C94" t="str">
        <f>_xlfn.XLOOKUP(A94,'Tabel Referensi'!$A$2:$A$601,'Tabel Referensi'!$C$2:$C$601)</f>
        <v>088898471391</v>
      </c>
      <c r="D94" t="str">
        <f>_xlfn.XLOOKUP(A94,'Tabel Referensi'!$A$2:$A$601,'Tabel Referensi'!$D$2:$D$601)</f>
        <v>Yogyakarta</v>
      </c>
    </row>
    <row r="95" spans="1:4" x14ac:dyDescent="0.35">
      <c r="A95" s="2">
        <v>10561</v>
      </c>
      <c r="B95" t="str">
        <f>_xlfn.XLOOKUP(A95,'Tabel Referensi'!$A$2:$A$601,'Tabel Referensi'!$B$2:$B$601)</f>
        <v>Chandra Hidayat</v>
      </c>
      <c r="C95" t="str">
        <f>_xlfn.XLOOKUP(A95,'Tabel Referensi'!$A$2:$A$601,'Tabel Referensi'!$C$2:$C$601)</f>
        <v>088477324491</v>
      </c>
      <c r="D95" t="str">
        <f>_xlfn.XLOOKUP(A95,'Tabel Referensi'!$A$2:$A$601,'Tabel Referensi'!$D$2:$D$601)</f>
        <v>Denpasar</v>
      </c>
    </row>
    <row r="96" spans="1:4" x14ac:dyDescent="0.35">
      <c r="A96" s="2">
        <v>10460</v>
      </c>
      <c r="B96" t="str">
        <f>_xlfn.XLOOKUP(A96,'Tabel Referensi'!$A$2:$A$601,'Tabel Referensi'!$B$2:$B$601)</f>
        <v>Putri Siregar</v>
      </c>
      <c r="C96" t="str">
        <f>_xlfn.XLOOKUP(A96,'Tabel Referensi'!$A$2:$A$601,'Tabel Referensi'!$C$2:$C$601)</f>
        <v>088560531340</v>
      </c>
      <c r="D96" t="str">
        <f>_xlfn.XLOOKUP(A96,'Tabel Referensi'!$A$2:$A$601,'Tabel Referensi'!$D$2:$D$601)</f>
        <v>Semarang</v>
      </c>
    </row>
    <row r="97" spans="1:4" x14ac:dyDescent="0.35">
      <c r="A97" s="2">
        <v>10454</v>
      </c>
      <c r="B97" t="str">
        <f>_xlfn.XLOOKUP(A97,'Tabel Referensi'!$A$2:$A$601,'Tabel Referensi'!$B$2:$B$601)</f>
        <v>Bella Siregar</v>
      </c>
      <c r="C97" t="str">
        <f>_xlfn.XLOOKUP(A97,'Tabel Referensi'!$A$2:$A$601,'Tabel Referensi'!$C$2:$C$601)</f>
        <v>088405396727</v>
      </c>
      <c r="D97" t="str">
        <f>_xlfn.XLOOKUP(A97,'Tabel Referensi'!$A$2:$A$601,'Tabel Referensi'!$D$2:$D$601)</f>
        <v>Malang</v>
      </c>
    </row>
    <row r="98" spans="1:4" x14ac:dyDescent="0.35">
      <c r="A98" s="2">
        <v>10301</v>
      </c>
      <c r="B98" t="str">
        <f>_xlfn.XLOOKUP(A98,'Tabel Referensi'!$A$2:$A$601,'Tabel Referensi'!$B$2:$B$601)</f>
        <v>Wawan Rahayu</v>
      </c>
      <c r="C98" t="str">
        <f>_xlfn.XLOOKUP(A98,'Tabel Referensi'!$A$2:$A$601,'Tabel Referensi'!$C$2:$C$601)</f>
        <v>088280634615</v>
      </c>
      <c r="D98" t="str">
        <f>_xlfn.XLOOKUP(A98,'Tabel Referensi'!$A$2:$A$601,'Tabel Referensi'!$D$2:$D$601)</f>
        <v>Medan</v>
      </c>
    </row>
    <row r="99" spans="1:4" x14ac:dyDescent="0.35">
      <c r="A99" s="2">
        <v>10092</v>
      </c>
      <c r="B99" t="str">
        <f>_xlfn.XLOOKUP(A99,'Tabel Referensi'!$A$2:$A$601,'Tabel Referensi'!$B$2:$B$601)</f>
        <v>Tono Hidayat</v>
      </c>
      <c r="C99" t="str">
        <f>_xlfn.XLOOKUP(A99,'Tabel Referensi'!$A$2:$A$601,'Tabel Referensi'!$C$2:$C$601)</f>
        <v>088121655852</v>
      </c>
      <c r="D99" t="str">
        <f>_xlfn.XLOOKUP(A99,'Tabel Referensi'!$A$2:$A$601,'Tabel Referensi'!$D$2:$D$601)</f>
        <v>Denpasar</v>
      </c>
    </row>
    <row r="100" spans="1:4" x14ac:dyDescent="0.35">
      <c r="A100" s="2">
        <v>10531</v>
      </c>
      <c r="B100" t="str">
        <f>_xlfn.XLOOKUP(A100,'Tabel Referensi'!$A$2:$A$601,'Tabel Referensi'!$B$2:$B$601)</f>
        <v>Citra Saputra</v>
      </c>
      <c r="C100" t="str">
        <f>_xlfn.XLOOKUP(A100,'Tabel Referensi'!$A$2:$A$601,'Tabel Referensi'!$C$2:$C$601)</f>
        <v>08760146723</v>
      </c>
      <c r="D100" t="str">
        <f>_xlfn.XLOOKUP(A100,'Tabel Referensi'!$A$2:$A$601,'Tabel Referensi'!$D$2:$D$601)</f>
        <v>Malang</v>
      </c>
    </row>
    <row r="101" spans="1:4" x14ac:dyDescent="0.35">
      <c r="A101" s="2">
        <v>10221</v>
      </c>
      <c r="B101" t="str">
        <f>_xlfn.XLOOKUP(A101,'Tabel Referensi'!$A$2:$A$601,'Tabel Referensi'!$B$2:$B$601)</f>
        <v>Lina Kusuma</v>
      </c>
      <c r="C101" t="str">
        <f>_xlfn.XLOOKUP(A101,'Tabel Referensi'!$A$2:$A$601,'Tabel Referensi'!$C$2:$C$601)</f>
        <v/>
      </c>
      <c r="D101" t="str">
        <f>_xlfn.XLOOKUP(A101,'Tabel Referensi'!$A$2:$A$601,'Tabel Referensi'!$D$2:$D$601)</f>
        <v>Medan</v>
      </c>
    </row>
    <row r="102" spans="1:4" x14ac:dyDescent="0.35">
      <c r="A102" s="2">
        <v>10338</v>
      </c>
      <c r="B102" t="str">
        <f>_xlfn.XLOOKUP(A102,'Tabel Referensi'!$A$2:$A$601,'Tabel Referensi'!$B$2:$B$601)</f>
        <v>Erik Pratama</v>
      </c>
      <c r="C102" t="str">
        <f>_xlfn.XLOOKUP(A102,'Tabel Referensi'!$A$2:$A$601,'Tabel Referensi'!$C$2:$C$601)</f>
        <v>08427624671</v>
      </c>
      <c r="D102" t="str">
        <f>_xlfn.XLOOKUP(A102,'Tabel Referensi'!$A$2:$A$601,'Tabel Referensi'!$D$2:$D$601)</f>
        <v>Palembang</v>
      </c>
    </row>
    <row r="103" spans="1:4" x14ac:dyDescent="0.35">
      <c r="A103" s="2">
        <v>10265</v>
      </c>
      <c r="B103" t="str">
        <f>_xlfn.XLOOKUP(A103,'Tabel Referensi'!$A$2:$A$601,'Tabel Referensi'!$B$2:$B$601)</f>
        <v>Oki Simatupang</v>
      </c>
      <c r="C103" t="str">
        <f>_xlfn.XLOOKUP(A103,'Tabel Referensi'!$A$2:$A$601,'Tabel Referensi'!$C$2:$C$601)</f>
        <v>088764472649</v>
      </c>
      <c r="D103" t="str">
        <f>_xlfn.XLOOKUP(A103,'Tabel Referensi'!$A$2:$A$601,'Tabel Referensi'!$D$2:$D$601)</f>
        <v>Bandung</v>
      </c>
    </row>
    <row r="104" spans="1:4" x14ac:dyDescent="0.35">
      <c r="A104" s="2">
        <v>10083</v>
      </c>
      <c r="B104" t="str">
        <f>_xlfn.XLOOKUP(A104,'Tabel Referensi'!$A$2:$A$601,'Tabel Referensi'!$B$2:$B$601)</f>
        <v>Vina Setiawan</v>
      </c>
      <c r="C104" t="str">
        <f>_xlfn.XLOOKUP(A104,'Tabel Referensi'!$A$2:$A$601,'Tabel Referensi'!$C$2:$C$601)</f>
        <v>088739473121</v>
      </c>
      <c r="D104" t="str">
        <f>_xlfn.XLOOKUP(A104,'Tabel Referensi'!$A$2:$A$601,'Tabel Referensi'!$D$2:$D$601)</f>
        <v>Jakarta</v>
      </c>
    </row>
    <row r="105" spans="1:4" x14ac:dyDescent="0.35">
      <c r="A105" s="2">
        <v>10060</v>
      </c>
      <c r="B105" t="str">
        <f>_xlfn.XLOOKUP(A105,'Tabel Referensi'!$A$2:$A$601,'Tabel Referensi'!$B$2:$B$601)</f>
        <v>Wawan Nasution</v>
      </c>
      <c r="C105" t="str">
        <f>_xlfn.XLOOKUP(A105,'Tabel Referensi'!$A$2:$A$601,'Tabel Referensi'!$C$2:$C$601)</f>
        <v>088998094024</v>
      </c>
      <c r="D105" t="str">
        <f>_xlfn.XLOOKUP(A105,'Tabel Referensi'!$A$2:$A$601,'Tabel Referensi'!$D$2:$D$601)</f>
        <v>Jakarta</v>
      </c>
    </row>
    <row r="106" spans="1:4" x14ac:dyDescent="0.35">
      <c r="A106" s="2">
        <v>10066</v>
      </c>
      <c r="B106" t="str">
        <f>_xlfn.XLOOKUP(A106,'Tabel Referensi'!$A$2:$A$601,'Tabel Referensi'!$B$2:$B$601)</f>
        <v>Dewi Lestari</v>
      </c>
      <c r="C106" t="str">
        <f>_xlfn.XLOOKUP(A106,'Tabel Referensi'!$A$2:$A$601,'Tabel Referensi'!$C$2:$C$601)</f>
        <v>088979955271</v>
      </c>
      <c r="D106" t="str">
        <f>_xlfn.XLOOKUP(A106,'Tabel Referensi'!$A$2:$A$601,'Tabel Referensi'!$D$2:$D$601)</f>
        <v>Bandung</v>
      </c>
    </row>
    <row r="107" spans="1:4" x14ac:dyDescent="0.35">
      <c r="A107" s="2">
        <v>10152</v>
      </c>
      <c r="B107" t="str">
        <f>_xlfn.XLOOKUP(A107,'Tabel Referensi'!$A$2:$A$601,'Tabel Referensi'!$B$2:$B$601)</f>
        <v>Chandra Wijaya</v>
      </c>
      <c r="C107" t="str">
        <f>_xlfn.XLOOKUP(A107,'Tabel Referensi'!$A$2:$A$601,'Tabel Referensi'!$C$2:$C$601)</f>
        <v>088206788317</v>
      </c>
      <c r="D107" t="str">
        <f>_xlfn.XLOOKUP(A107,'Tabel Referensi'!$A$2:$A$601,'Tabel Referensi'!$D$2:$D$601)</f>
        <v>Yogyakarta</v>
      </c>
    </row>
    <row r="108" spans="1:4" x14ac:dyDescent="0.35">
      <c r="A108" s="2">
        <v>10278</v>
      </c>
      <c r="B108" t="str">
        <f>_xlfn.XLOOKUP(A108,'Tabel Referensi'!$A$2:$A$601,'Tabel Referensi'!$B$2:$B$601)</f>
        <v>Oki Wijaya</v>
      </c>
      <c r="C108" t="str">
        <f>_xlfn.XLOOKUP(A108,'Tabel Referensi'!$A$2:$A$601,'Tabel Referensi'!$C$2:$C$601)</f>
        <v>088448571422</v>
      </c>
      <c r="D108" t="str">
        <f>_xlfn.XLOOKUP(A108,'Tabel Referensi'!$A$2:$A$601,'Tabel Referensi'!$D$2:$D$601)</f>
        <v>Denpasar</v>
      </c>
    </row>
    <row r="109" spans="1:4" x14ac:dyDescent="0.35">
      <c r="A109" s="2">
        <v>10543</v>
      </c>
      <c r="B109" t="str">
        <f>_xlfn.XLOOKUP(A109,'Tabel Referensi'!$A$2:$A$601,'Tabel Referensi'!$B$2:$B$601)</f>
        <v>Fitri Wijaya</v>
      </c>
      <c r="C109" t="str">
        <f>_xlfn.XLOOKUP(A109,'Tabel Referensi'!$A$2:$A$601,'Tabel Referensi'!$C$2:$C$601)</f>
        <v>088266821719</v>
      </c>
      <c r="D109" t="str">
        <f>_xlfn.XLOOKUP(A109,'Tabel Referensi'!$A$2:$A$601,'Tabel Referensi'!$D$2:$D$601)</f>
        <v>Bandung</v>
      </c>
    </row>
    <row r="110" spans="1:4" x14ac:dyDescent="0.35">
      <c r="A110" s="2">
        <v>10468</v>
      </c>
      <c r="B110" t="str">
        <f>_xlfn.XLOOKUP(A110,'Tabel Referensi'!$A$2:$A$601,'Tabel Referensi'!$B$2:$B$601)</f>
        <v>Bella Saputra</v>
      </c>
      <c r="C110" t="str">
        <f>_xlfn.XLOOKUP(A110,'Tabel Referensi'!$A$2:$A$601,'Tabel Referensi'!$C$2:$C$601)</f>
        <v>088881278686</v>
      </c>
      <c r="D110" t="str">
        <f>_xlfn.XLOOKUP(A110,'Tabel Referensi'!$A$2:$A$601,'Tabel Referensi'!$D$2:$D$601)</f>
        <v>Malang</v>
      </c>
    </row>
    <row r="111" spans="1:4" x14ac:dyDescent="0.35">
      <c r="A111" s="2">
        <v>10117</v>
      </c>
      <c r="B111" t="str">
        <f>_xlfn.XLOOKUP(A111,'Tabel Referensi'!$A$2:$A$601,'Tabel Referensi'!$B$2:$B$601)</f>
        <v>Citra Nasution</v>
      </c>
      <c r="C111" t="str">
        <f>_xlfn.XLOOKUP(A111,'Tabel Referensi'!$A$2:$A$601,'Tabel Referensi'!$C$2:$C$601)</f>
        <v>08148902503</v>
      </c>
      <c r="D111" t="str">
        <f>_xlfn.XLOOKUP(A111,'Tabel Referensi'!$A$2:$A$601,'Tabel Referensi'!$D$2:$D$601)</f>
        <v>Yogyakarta</v>
      </c>
    </row>
    <row r="112" spans="1:4" x14ac:dyDescent="0.35">
      <c r="A112" s="2">
        <v>10109</v>
      </c>
      <c r="B112" t="str">
        <f>_xlfn.XLOOKUP(A112,'Tabel Referensi'!$A$2:$A$601,'Tabel Referensi'!$B$2:$B$601)</f>
        <v>Eka Rahayu</v>
      </c>
      <c r="C112" t="str">
        <f>_xlfn.XLOOKUP(A112,'Tabel Referensi'!$A$2:$A$601,'Tabel Referensi'!$C$2:$C$601)</f>
        <v>088866882634</v>
      </c>
      <c r="D112" t="str">
        <f>_xlfn.XLOOKUP(A112,'Tabel Referensi'!$A$2:$A$601,'Tabel Referensi'!$D$2:$D$601)</f>
        <v>Surabaya</v>
      </c>
    </row>
    <row r="113" spans="1:4" x14ac:dyDescent="0.35">
      <c r="A113" s="2">
        <v>10201</v>
      </c>
      <c r="B113" t="str">
        <f>_xlfn.XLOOKUP(A113,'Tabel Referensi'!$A$2:$A$601,'Tabel Referensi'!$B$2:$B$601)</f>
        <v>Putri Wijaya</v>
      </c>
      <c r="C113" t="str">
        <f>_xlfn.XLOOKUP(A113,'Tabel Referensi'!$A$2:$A$601,'Tabel Referensi'!$C$2:$C$601)</f>
        <v>088336138612</v>
      </c>
      <c r="D113" t="str">
        <f>_xlfn.XLOOKUP(A113,'Tabel Referensi'!$A$2:$A$601,'Tabel Referensi'!$D$2:$D$601)</f>
        <v>Bandung</v>
      </c>
    </row>
    <row r="114" spans="1:4" x14ac:dyDescent="0.35">
      <c r="A114" s="2">
        <v>10496</v>
      </c>
      <c r="B114" t="str">
        <f>_xlfn.XLOOKUP(A114,'Tabel Referensi'!$A$2:$A$601,'Tabel Referensi'!$B$2:$B$601)</f>
        <v>Lina Hidayat</v>
      </c>
      <c r="C114" t="str">
        <f>_xlfn.XLOOKUP(A114,'Tabel Referensi'!$A$2:$A$601,'Tabel Referensi'!$C$2:$C$601)</f>
        <v>088766558685</v>
      </c>
      <c r="D114" t="str">
        <f>_xlfn.XLOOKUP(A114,'Tabel Referensi'!$A$2:$A$601,'Tabel Referensi'!$D$2:$D$601)</f>
        <v>Malang</v>
      </c>
    </row>
    <row r="115" spans="1:4" x14ac:dyDescent="0.35">
      <c r="A115" s="2">
        <v>10449</v>
      </c>
      <c r="B115" t="str">
        <f>_xlfn.XLOOKUP(A115,'Tabel Referensi'!$A$2:$A$601,'Tabel Referensi'!$B$2:$B$601)</f>
        <v>Sari Santoso</v>
      </c>
      <c r="C115" t="str">
        <f>_xlfn.XLOOKUP(A115,'Tabel Referensi'!$A$2:$A$601,'Tabel Referensi'!$C$2:$C$601)</f>
        <v>088758598831</v>
      </c>
      <c r="D115" t="str">
        <f>_xlfn.XLOOKUP(A115,'Tabel Referensi'!$A$2:$A$601,'Tabel Referensi'!$D$2:$D$601)</f>
        <v>Medan</v>
      </c>
    </row>
    <row r="116" spans="1:4" x14ac:dyDescent="0.35">
      <c r="A116" s="2">
        <v>10445</v>
      </c>
      <c r="B116" t="str">
        <f>_xlfn.XLOOKUP(A116,'Tabel Referensi'!$A$2:$A$601,'Tabel Referensi'!$B$2:$B$601)</f>
        <v>Made Marpaung</v>
      </c>
      <c r="C116" t="str">
        <f>_xlfn.XLOOKUP(A116,'Tabel Referensi'!$A$2:$A$601,'Tabel Referensi'!$C$2:$C$601)</f>
        <v>08263013674</v>
      </c>
      <c r="D116" t="str">
        <f>_xlfn.XLOOKUP(A116,'Tabel Referensi'!$A$2:$A$601,'Tabel Referensi'!$D$2:$D$601)</f>
        <v>Medan</v>
      </c>
    </row>
    <row r="117" spans="1:4" x14ac:dyDescent="0.35">
      <c r="A117" s="2">
        <v>10233</v>
      </c>
      <c r="B117" t="str">
        <f>_xlfn.XLOOKUP(A117,'Tabel Referensi'!$A$2:$A$601,'Tabel Referensi'!$B$2:$B$601)</f>
        <v>Tono Siregar</v>
      </c>
      <c r="C117" t="str">
        <f>_xlfn.XLOOKUP(A117,'Tabel Referensi'!$A$2:$A$601,'Tabel Referensi'!$C$2:$C$601)</f>
        <v>088647598762</v>
      </c>
      <c r="D117" t="str">
        <f>_xlfn.XLOOKUP(A117,'Tabel Referensi'!$A$2:$A$601,'Tabel Referensi'!$D$2:$D$601)</f>
        <v>Jakarta</v>
      </c>
    </row>
    <row r="118" spans="1:4" x14ac:dyDescent="0.35">
      <c r="A118" s="2">
        <v>10551</v>
      </c>
      <c r="B118" t="str">
        <f>_xlfn.XLOOKUP(A118,'Tabel Referensi'!$A$2:$A$601,'Tabel Referensi'!$B$2:$B$601)</f>
        <v>Putri Hidayat</v>
      </c>
      <c r="C118" t="str">
        <f>_xlfn.XLOOKUP(A118,'Tabel Referensi'!$A$2:$A$601,'Tabel Referensi'!$C$2:$C$601)</f>
        <v>088447232290</v>
      </c>
      <c r="D118" t="str">
        <f>_xlfn.XLOOKUP(A118,'Tabel Referensi'!$A$2:$A$601,'Tabel Referensi'!$D$2:$D$601)</f>
        <v>Medan</v>
      </c>
    </row>
    <row r="119" spans="1:4" x14ac:dyDescent="0.35">
      <c r="A119" s="2">
        <v>10507</v>
      </c>
      <c r="B119" t="str">
        <f>_xlfn.XLOOKUP(A119,'Tabel Referensi'!$A$2:$A$601,'Tabel Referensi'!$B$2:$B$601)</f>
        <v>Oki Santoso</v>
      </c>
      <c r="C119" t="str">
        <f>_xlfn.XLOOKUP(A119,'Tabel Referensi'!$A$2:$A$601,'Tabel Referensi'!$C$2:$C$601)</f>
        <v>088125625313</v>
      </c>
      <c r="D119" t="str">
        <f>_xlfn.XLOOKUP(A119,'Tabel Referensi'!$A$2:$A$601,'Tabel Referensi'!$D$2:$D$601)</f>
        <v>Denpasar</v>
      </c>
    </row>
    <row r="120" spans="1:4" x14ac:dyDescent="0.35">
      <c r="A120" s="2">
        <v>10595</v>
      </c>
      <c r="B120" t="str">
        <f>_xlfn.XLOOKUP(A120,'Tabel Referensi'!$A$2:$A$601,'Tabel Referensi'!$B$2:$B$601)</f>
        <v>Joko Lestari</v>
      </c>
      <c r="C120" t="str">
        <f>_xlfn.XLOOKUP(A120,'Tabel Referensi'!$A$2:$A$601,'Tabel Referensi'!$C$2:$C$601)</f>
        <v>088123361328</v>
      </c>
      <c r="D120" t="str">
        <f>_xlfn.XLOOKUP(A120,'Tabel Referensi'!$A$2:$A$601,'Tabel Referensi'!$D$2:$D$601)</f>
        <v>Palembang</v>
      </c>
    </row>
    <row r="121" spans="1:4" x14ac:dyDescent="0.35">
      <c r="A121" s="2">
        <v>10572</v>
      </c>
      <c r="B121" t="str">
        <f>_xlfn.XLOOKUP(A121,'Tabel Referensi'!$A$2:$A$601,'Tabel Referensi'!$B$2:$B$601)</f>
        <v>Citra Kusuma</v>
      </c>
      <c r="C121" t="str">
        <f>_xlfn.XLOOKUP(A121,'Tabel Referensi'!$A$2:$A$601,'Tabel Referensi'!$C$2:$C$601)</f>
        <v>088945680447</v>
      </c>
      <c r="D121" t="str">
        <f>_xlfn.XLOOKUP(A121,'Tabel Referensi'!$A$2:$A$601,'Tabel Referensi'!$D$2:$D$601)</f>
        <v>Makassar</v>
      </c>
    </row>
    <row r="122" spans="1:4" x14ac:dyDescent="0.35">
      <c r="A122" s="2">
        <v>10073</v>
      </c>
      <c r="B122" t="str">
        <f>_xlfn.XLOOKUP(A122,'Tabel Referensi'!$A$2:$A$601,'Tabel Referensi'!$B$2:$B$601)</f>
        <v>Oki Simatupang</v>
      </c>
      <c r="C122" t="str">
        <f>_xlfn.XLOOKUP(A122,'Tabel Referensi'!$A$2:$A$601,'Tabel Referensi'!$C$2:$C$601)</f>
        <v/>
      </c>
      <c r="D122" t="str">
        <f>_xlfn.XLOOKUP(A122,'Tabel Referensi'!$A$2:$A$601,'Tabel Referensi'!$D$2:$D$601)</f>
        <v>Makassar</v>
      </c>
    </row>
    <row r="123" spans="1:4" x14ac:dyDescent="0.35">
      <c r="A123" s="2">
        <v>10463</v>
      </c>
      <c r="B123" t="str">
        <f>_xlfn.XLOOKUP(A123,'Tabel Referensi'!$A$2:$A$601,'Tabel Referensi'!$B$2:$B$601)</f>
        <v>Yani Nugroho</v>
      </c>
      <c r="C123" t="str">
        <f>_xlfn.XLOOKUP(A123,'Tabel Referensi'!$A$2:$A$601,'Tabel Referensi'!$C$2:$C$601)</f>
        <v>088260432609</v>
      </c>
      <c r="D123" t="str">
        <f>_xlfn.XLOOKUP(A123,'Tabel Referensi'!$A$2:$A$601,'Tabel Referensi'!$D$2:$D$601)</f>
        <v>Bandung</v>
      </c>
    </row>
    <row r="124" spans="1:4" x14ac:dyDescent="0.35">
      <c r="A124" s="2">
        <v>10218</v>
      </c>
      <c r="B124" t="str">
        <f>_xlfn.XLOOKUP(A124,'Tabel Referensi'!$A$2:$A$601,'Tabel Referensi'!$B$2:$B$601)</f>
        <v>Tono Pratama</v>
      </c>
      <c r="C124" t="str">
        <f>_xlfn.XLOOKUP(A124,'Tabel Referensi'!$A$2:$A$601,'Tabel Referensi'!$C$2:$C$601)</f>
        <v>088448695946</v>
      </c>
      <c r="D124" t="str">
        <f>_xlfn.XLOOKUP(A124,'Tabel Referensi'!$A$2:$A$601,'Tabel Referensi'!$D$2:$D$601)</f>
        <v>Medan</v>
      </c>
    </row>
    <row r="125" spans="1:4" x14ac:dyDescent="0.35">
      <c r="A125" s="2">
        <v>10482</v>
      </c>
      <c r="B125" t="str">
        <f>_xlfn.XLOOKUP(A125,'Tabel Referensi'!$A$2:$A$601,'Tabel Referensi'!$B$2:$B$601)</f>
        <v>Erik Wijaya</v>
      </c>
      <c r="C125" t="str">
        <f>_xlfn.XLOOKUP(A125,'Tabel Referensi'!$A$2:$A$601,'Tabel Referensi'!$C$2:$C$601)</f>
        <v>08498436241</v>
      </c>
      <c r="D125" t="str">
        <f>_xlfn.XLOOKUP(A125,'Tabel Referensi'!$A$2:$A$601,'Tabel Referensi'!$D$2:$D$601)</f>
        <v>Surabaya</v>
      </c>
    </row>
    <row r="126" spans="1:4" x14ac:dyDescent="0.35">
      <c r="A126" s="2">
        <v>10038</v>
      </c>
      <c r="B126" t="str">
        <f>_xlfn.XLOOKUP(A126,'Tabel Referensi'!$A$2:$A$601,'Tabel Referensi'!$B$2:$B$601)</f>
        <v>Yani Nasution</v>
      </c>
      <c r="C126" t="str">
        <f>_xlfn.XLOOKUP(A126,'Tabel Referensi'!$A$2:$A$601,'Tabel Referensi'!$C$2:$C$601)</f>
        <v>088936183242</v>
      </c>
      <c r="D126" t="str">
        <f>_xlfn.XLOOKUP(A126,'Tabel Referensi'!$A$2:$A$601,'Tabel Referensi'!$D$2:$D$601)</f>
        <v>Medan</v>
      </c>
    </row>
    <row r="127" spans="1:4" x14ac:dyDescent="0.35">
      <c r="A127" s="2">
        <v>10139</v>
      </c>
      <c r="B127" t="str">
        <f>_xlfn.XLOOKUP(A127,'Tabel Referensi'!$A$2:$A$601,'Tabel Referensi'!$B$2:$B$601)</f>
        <v>Hadi Simatupang</v>
      </c>
      <c r="C127" t="str">
        <f>_xlfn.XLOOKUP(A127,'Tabel Referensi'!$A$2:$A$601,'Tabel Referensi'!$C$2:$C$601)</f>
        <v>088115542622</v>
      </c>
      <c r="D127" t="str">
        <f>_xlfn.XLOOKUP(A127,'Tabel Referensi'!$A$2:$A$601,'Tabel Referensi'!$D$2:$D$601)</f>
        <v>Medan</v>
      </c>
    </row>
    <row r="128" spans="1:4" x14ac:dyDescent="0.35">
      <c r="A128" s="2">
        <v>10026</v>
      </c>
      <c r="B128" t="str">
        <f>_xlfn.XLOOKUP(A128,'Tabel Referensi'!$A$2:$A$601,'Tabel Referensi'!$B$2:$B$601)</f>
        <v>Joko Siregar</v>
      </c>
      <c r="C128" t="str">
        <f>_xlfn.XLOOKUP(A128,'Tabel Referensi'!$A$2:$A$601,'Tabel Referensi'!$C$2:$C$601)</f>
        <v>088656272980</v>
      </c>
      <c r="D128" t="str">
        <f>_xlfn.XLOOKUP(A128,'Tabel Referensi'!$A$2:$A$601,'Tabel Referensi'!$D$2:$D$601)</f>
        <v>Denpasar</v>
      </c>
    </row>
    <row r="129" spans="1:4" x14ac:dyDescent="0.35">
      <c r="A129" s="2">
        <v>10289</v>
      </c>
      <c r="B129" t="str">
        <f>_xlfn.XLOOKUP(A129,'Tabel Referensi'!$A$2:$A$601,'Tabel Referensi'!$B$2:$B$601)</f>
        <v>Dian Setiawan</v>
      </c>
      <c r="C129" t="str">
        <f>_xlfn.XLOOKUP(A129,'Tabel Referensi'!$A$2:$A$601,'Tabel Referensi'!$C$2:$C$601)</f>
        <v>088490580778</v>
      </c>
      <c r="D129" t="str">
        <f>_xlfn.XLOOKUP(A129,'Tabel Referensi'!$A$2:$A$601,'Tabel Referensi'!$D$2:$D$601)</f>
        <v>Denpasar</v>
      </c>
    </row>
    <row r="130" spans="1:4" x14ac:dyDescent="0.35">
      <c r="A130" s="2">
        <v>10271</v>
      </c>
      <c r="B130" t="str">
        <f>_xlfn.XLOOKUP(A130,'Tabel Referensi'!$A$2:$A$601,'Tabel Referensi'!$B$2:$B$601)</f>
        <v>Lina Siregar</v>
      </c>
      <c r="C130" t="str">
        <f>_xlfn.XLOOKUP(A130,'Tabel Referensi'!$A$2:$A$601,'Tabel Referensi'!$C$2:$C$601)</f>
        <v>088833901981</v>
      </c>
      <c r="D130" t="str">
        <f>_xlfn.XLOOKUP(A130,'Tabel Referensi'!$A$2:$A$601,'Tabel Referensi'!$D$2:$D$601)</f>
        <v>Makassar</v>
      </c>
    </row>
    <row r="131" spans="1:4" x14ac:dyDescent="0.35">
      <c r="A131" s="2">
        <v>10303</v>
      </c>
      <c r="B131" t="str">
        <f>_xlfn.XLOOKUP(A131,'Tabel Referensi'!$A$2:$A$601,'Tabel Referensi'!$B$2:$B$601)</f>
        <v>Dewi Hidayat</v>
      </c>
      <c r="C131" t="str">
        <f>_xlfn.XLOOKUP(A131,'Tabel Referensi'!$A$2:$A$601,'Tabel Referensi'!$C$2:$C$601)</f>
        <v>088079032020</v>
      </c>
      <c r="D131" t="str">
        <f>_xlfn.XLOOKUP(A131,'Tabel Referensi'!$A$2:$A$601,'Tabel Referensi'!$D$2:$D$601)</f>
        <v>Palembang</v>
      </c>
    </row>
    <row r="132" spans="1:4" x14ac:dyDescent="0.35">
      <c r="A132" s="2">
        <v>10180</v>
      </c>
      <c r="B132" t="str">
        <f>_xlfn.XLOOKUP(A132,'Tabel Referensi'!$A$2:$A$601,'Tabel Referensi'!$B$2:$B$601)</f>
        <v>Gita Halim</v>
      </c>
      <c r="C132" t="str">
        <f>_xlfn.XLOOKUP(A132,'Tabel Referensi'!$A$2:$A$601,'Tabel Referensi'!$C$2:$C$601)</f>
        <v>088168942104</v>
      </c>
      <c r="D132" t="str">
        <f>_xlfn.XLOOKUP(A132,'Tabel Referensi'!$A$2:$A$601,'Tabel Referensi'!$D$2:$D$601)</f>
        <v>Yogyakarta</v>
      </c>
    </row>
    <row r="133" spans="1:4" x14ac:dyDescent="0.35">
      <c r="A133" s="2">
        <v>10457</v>
      </c>
      <c r="B133" t="str">
        <f>_xlfn.XLOOKUP(A133,'Tabel Referensi'!$A$2:$A$601,'Tabel Referensi'!$B$2:$B$601)</f>
        <v>Fajar Kusuma</v>
      </c>
      <c r="C133" t="str">
        <f>_xlfn.XLOOKUP(A133,'Tabel Referensi'!$A$2:$A$601,'Tabel Referensi'!$C$2:$C$601)</f>
        <v>088538144744</v>
      </c>
      <c r="D133" t="str">
        <f>_xlfn.XLOOKUP(A133,'Tabel Referensi'!$A$2:$A$601,'Tabel Referensi'!$D$2:$D$601)</f>
        <v>Surabaya</v>
      </c>
    </row>
    <row r="134" spans="1:4" x14ac:dyDescent="0.35">
      <c r="A134" s="2">
        <v>10054</v>
      </c>
      <c r="B134" t="str">
        <f>_xlfn.XLOOKUP(A134,'Tabel Referensi'!$A$2:$A$601,'Tabel Referensi'!$B$2:$B$601)</f>
        <v>Oki Nugroho</v>
      </c>
      <c r="C134" t="str">
        <f>_xlfn.XLOOKUP(A134,'Tabel Referensi'!$A$2:$A$601,'Tabel Referensi'!$C$2:$C$601)</f>
        <v>08713900532</v>
      </c>
      <c r="D134" t="str">
        <f>_xlfn.XLOOKUP(A134,'Tabel Referensi'!$A$2:$A$601,'Tabel Referensi'!$D$2:$D$601)</f>
        <v>Jakarta</v>
      </c>
    </row>
    <row r="135" spans="1:4" x14ac:dyDescent="0.35">
      <c r="A135" s="2">
        <v>10059</v>
      </c>
      <c r="B135" t="str">
        <f>_xlfn.XLOOKUP(A135,'Tabel Referensi'!$A$2:$A$601,'Tabel Referensi'!$B$2:$B$601)</f>
        <v>Nita Pratama</v>
      </c>
      <c r="C135" t="str">
        <f>_xlfn.XLOOKUP(A135,'Tabel Referensi'!$A$2:$A$601,'Tabel Referensi'!$C$2:$C$601)</f>
        <v>088604945198</v>
      </c>
      <c r="D135" t="str">
        <f>_xlfn.XLOOKUP(A135,'Tabel Referensi'!$A$2:$A$601,'Tabel Referensi'!$D$2:$D$601)</f>
        <v>Surabaya</v>
      </c>
    </row>
    <row r="136" spans="1:4" x14ac:dyDescent="0.35">
      <c r="A136" s="2">
        <v>10027</v>
      </c>
      <c r="B136" t="str">
        <f>_xlfn.XLOOKUP(A136,'Tabel Referensi'!$A$2:$A$601,'Tabel Referensi'!$B$2:$B$601)</f>
        <v>Tono Saputra</v>
      </c>
      <c r="C136" t="str">
        <f>_xlfn.XLOOKUP(A136,'Tabel Referensi'!$A$2:$A$601,'Tabel Referensi'!$C$2:$C$601)</f>
        <v>088564641708</v>
      </c>
      <c r="D136" t="str">
        <f>_xlfn.XLOOKUP(A136,'Tabel Referensi'!$A$2:$A$601,'Tabel Referensi'!$D$2:$D$601)</f>
        <v>Makassar</v>
      </c>
    </row>
    <row r="137" spans="1:4" x14ac:dyDescent="0.35">
      <c r="A137" s="2">
        <v>10245</v>
      </c>
      <c r="B137" t="str">
        <f>_xlfn.XLOOKUP(A137,'Tabel Referensi'!$A$2:$A$601,'Tabel Referensi'!$B$2:$B$601)</f>
        <v>Eka Simatupang</v>
      </c>
      <c r="C137" t="str">
        <f>_xlfn.XLOOKUP(A137,'Tabel Referensi'!$A$2:$A$601,'Tabel Referensi'!$C$2:$C$601)</f>
        <v>08959351863</v>
      </c>
      <c r="D137" t="str">
        <f>_xlfn.XLOOKUP(A137,'Tabel Referensi'!$A$2:$A$601,'Tabel Referensi'!$D$2:$D$601)</f>
        <v>Semarang</v>
      </c>
    </row>
    <row r="138" spans="1:4" x14ac:dyDescent="0.35">
      <c r="A138" s="2">
        <v>10280</v>
      </c>
      <c r="B138" t="str">
        <f>_xlfn.XLOOKUP(A138,'Tabel Referensi'!$A$2:$A$601,'Tabel Referensi'!$B$2:$B$601)</f>
        <v>Dewi Siregar</v>
      </c>
      <c r="C138" t="str">
        <f>_xlfn.XLOOKUP(A138,'Tabel Referensi'!$A$2:$A$601,'Tabel Referensi'!$C$2:$C$601)</f>
        <v>088538179217</v>
      </c>
      <c r="D138" t="str">
        <f>_xlfn.XLOOKUP(A138,'Tabel Referensi'!$A$2:$A$601,'Tabel Referensi'!$D$2:$D$601)</f>
        <v>Jakarta</v>
      </c>
    </row>
    <row r="139" spans="1:4" x14ac:dyDescent="0.35">
      <c r="A139" s="2">
        <v>10343</v>
      </c>
      <c r="B139" t="str">
        <f>_xlfn.XLOOKUP(A139,'Tabel Referensi'!$A$2:$A$601,'Tabel Referensi'!$B$2:$B$601)</f>
        <v>Tono Nasution</v>
      </c>
      <c r="C139" t="str">
        <f>_xlfn.XLOOKUP(A139,'Tabel Referensi'!$A$2:$A$601,'Tabel Referensi'!$C$2:$C$601)</f>
        <v>088649878208</v>
      </c>
      <c r="D139" t="str">
        <f>_xlfn.XLOOKUP(A139,'Tabel Referensi'!$A$2:$A$601,'Tabel Referensi'!$D$2:$D$601)</f>
        <v>Bandung</v>
      </c>
    </row>
    <row r="140" spans="1:4" x14ac:dyDescent="0.35">
      <c r="A140" s="2">
        <v>10293</v>
      </c>
      <c r="B140" t="str">
        <f>_xlfn.XLOOKUP(A140,'Tabel Referensi'!$A$2:$A$601,'Tabel Referensi'!$B$2:$B$601)</f>
        <v>Zaki Halim</v>
      </c>
      <c r="C140" t="str">
        <f>_xlfn.XLOOKUP(A140,'Tabel Referensi'!$A$2:$A$601,'Tabel Referensi'!$C$2:$C$601)</f>
        <v>088836674286</v>
      </c>
      <c r="D140" t="str">
        <f>_xlfn.XLOOKUP(A140,'Tabel Referensi'!$A$2:$A$601,'Tabel Referensi'!$D$2:$D$601)</f>
        <v>Semarang</v>
      </c>
    </row>
    <row r="141" spans="1:4" x14ac:dyDescent="0.35">
      <c r="A141" s="2">
        <v>10517</v>
      </c>
      <c r="B141" t="str">
        <f>_xlfn.XLOOKUP(A141,'Tabel Referensi'!$A$2:$A$601,'Tabel Referensi'!$B$2:$B$601)</f>
        <v>Lina Setiawan</v>
      </c>
      <c r="C141" t="str">
        <f>_xlfn.XLOOKUP(A141,'Tabel Referensi'!$A$2:$A$601,'Tabel Referensi'!$C$2:$C$601)</f>
        <v>088074510663</v>
      </c>
      <c r="D141" t="str">
        <f>_xlfn.XLOOKUP(A141,'Tabel Referensi'!$A$2:$A$601,'Tabel Referensi'!$D$2:$D$601)</f>
        <v>Denpasar</v>
      </c>
    </row>
    <row r="142" spans="1:4" x14ac:dyDescent="0.35">
      <c r="A142" s="2">
        <v>10024</v>
      </c>
      <c r="B142" t="str">
        <f>_xlfn.XLOOKUP(A142,'Tabel Referensi'!$A$2:$A$601,'Tabel Referensi'!$B$2:$B$601)</f>
        <v>Chandra Setiawan</v>
      </c>
      <c r="C142" t="str">
        <f>_xlfn.XLOOKUP(A142,'Tabel Referensi'!$A$2:$A$601,'Tabel Referensi'!$C$2:$C$601)</f>
        <v>088812236231</v>
      </c>
      <c r="D142" t="str">
        <f>_xlfn.XLOOKUP(A142,'Tabel Referensi'!$A$2:$A$601,'Tabel Referensi'!$D$2:$D$601)</f>
        <v>Palembang</v>
      </c>
    </row>
    <row r="143" spans="1:4" x14ac:dyDescent="0.35">
      <c r="A143" s="2">
        <v>10529</v>
      </c>
      <c r="B143" t="str">
        <f>_xlfn.XLOOKUP(A143,'Tabel Referensi'!$A$2:$A$601,'Tabel Referensi'!$B$2:$B$601)</f>
        <v>Tono Halim</v>
      </c>
      <c r="C143" t="str">
        <f>_xlfn.XLOOKUP(A143,'Tabel Referensi'!$A$2:$A$601,'Tabel Referensi'!$C$2:$C$601)</f>
        <v>088870104159</v>
      </c>
      <c r="D143" t="str">
        <f>_xlfn.XLOOKUP(A143,'Tabel Referensi'!$A$2:$A$601,'Tabel Referensi'!$D$2:$D$601)</f>
        <v>Malang</v>
      </c>
    </row>
    <row r="144" spans="1:4" x14ac:dyDescent="0.35">
      <c r="A144" s="2">
        <v>10541</v>
      </c>
      <c r="B144" t="str">
        <f>_xlfn.XLOOKUP(A144,'Tabel Referensi'!$A$2:$A$601,'Tabel Referensi'!$B$2:$B$601)</f>
        <v>Indah Hidayat</v>
      </c>
      <c r="C144" t="str">
        <f>_xlfn.XLOOKUP(A144,'Tabel Referensi'!$A$2:$A$601,'Tabel Referensi'!$C$2:$C$601)</f>
        <v/>
      </c>
      <c r="D144" t="str">
        <f>_xlfn.XLOOKUP(A144,'Tabel Referensi'!$A$2:$A$601,'Tabel Referensi'!$D$2:$D$601)</f>
        <v>Medan</v>
      </c>
    </row>
    <row r="145" spans="1:4" x14ac:dyDescent="0.35">
      <c r="A145" s="2">
        <v>10583</v>
      </c>
      <c r="B145" t="str">
        <f>_xlfn.XLOOKUP(A145,'Tabel Referensi'!$A$2:$A$601,'Tabel Referensi'!$B$2:$B$601)</f>
        <v>Sari Siregar</v>
      </c>
      <c r="C145" t="str">
        <f>_xlfn.XLOOKUP(A145,'Tabel Referensi'!$A$2:$A$601,'Tabel Referensi'!$C$2:$C$601)</f>
        <v>088324268774</v>
      </c>
      <c r="D145" t="str">
        <f>_xlfn.XLOOKUP(A145,'Tabel Referensi'!$A$2:$A$601,'Tabel Referensi'!$D$2:$D$601)</f>
        <v>Makassar</v>
      </c>
    </row>
    <row r="146" spans="1:4" x14ac:dyDescent="0.35">
      <c r="A146" s="2">
        <v>10494</v>
      </c>
      <c r="B146" t="str">
        <f>_xlfn.XLOOKUP(A146,'Tabel Referensi'!$A$2:$A$601,'Tabel Referensi'!$B$2:$B$601)</f>
        <v>Fitri Siregar</v>
      </c>
      <c r="C146" t="str">
        <f>_xlfn.XLOOKUP(A146,'Tabel Referensi'!$A$2:$A$601,'Tabel Referensi'!$C$2:$C$601)</f>
        <v/>
      </c>
      <c r="D146" t="str">
        <f>_xlfn.XLOOKUP(A146,'Tabel Referensi'!$A$2:$A$601,'Tabel Referensi'!$D$2:$D$601)</f>
        <v>Denpasar</v>
      </c>
    </row>
    <row r="147" spans="1:4" x14ac:dyDescent="0.35">
      <c r="A147" s="2">
        <v>10580</v>
      </c>
      <c r="B147" t="str">
        <f>_xlfn.XLOOKUP(A147,'Tabel Referensi'!$A$2:$A$601,'Tabel Referensi'!$B$2:$B$601)</f>
        <v>Umi Santoso</v>
      </c>
      <c r="C147" t="str">
        <f>_xlfn.XLOOKUP(A147,'Tabel Referensi'!$A$2:$A$601,'Tabel Referensi'!$C$2:$C$601)</f>
        <v>088694596488</v>
      </c>
      <c r="D147" t="str">
        <f>_xlfn.XLOOKUP(A147,'Tabel Referensi'!$A$2:$A$601,'Tabel Referensi'!$D$2:$D$601)</f>
        <v>Yogyakarta</v>
      </c>
    </row>
    <row r="148" spans="1:4" x14ac:dyDescent="0.35">
      <c r="A148" s="2">
        <v>10359</v>
      </c>
      <c r="B148" t="str">
        <f>_xlfn.XLOOKUP(A148,'Tabel Referensi'!$A$2:$A$601,'Tabel Referensi'!$B$2:$B$601)</f>
        <v>Putri Simatupang</v>
      </c>
      <c r="C148" t="str">
        <f>_xlfn.XLOOKUP(A148,'Tabel Referensi'!$A$2:$A$601,'Tabel Referensi'!$C$2:$C$601)</f>
        <v>088849939089</v>
      </c>
      <c r="D148" t="str">
        <f>_xlfn.XLOOKUP(A148,'Tabel Referensi'!$A$2:$A$601,'Tabel Referensi'!$D$2:$D$601)</f>
        <v>Jakarta</v>
      </c>
    </row>
    <row r="149" spans="1:4" x14ac:dyDescent="0.35">
      <c r="A149" s="2">
        <v>10120</v>
      </c>
      <c r="B149" t="str">
        <f>_xlfn.XLOOKUP(A149,'Tabel Referensi'!$A$2:$A$601,'Tabel Referensi'!$B$2:$B$601)</f>
        <v>Yani Lestari</v>
      </c>
      <c r="C149" t="str">
        <f>_xlfn.XLOOKUP(A149,'Tabel Referensi'!$A$2:$A$601,'Tabel Referensi'!$C$2:$C$601)</f>
        <v>088126788861</v>
      </c>
      <c r="D149" t="str">
        <f>_xlfn.XLOOKUP(A149,'Tabel Referensi'!$A$2:$A$601,'Tabel Referensi'!$D$2:$D$601)</f>
        <v>Yogyakarta</v>
      </c>
    </row>
    <row r="150" spans="1:4" x14ac:dyDescent="0.35">
      <c r="A150" s="2">
        <v>10130</v>
      </c>
      <c r="B150" t="str">
        <f>_xlfn.XLOOKUP(A150,'Tabel Referensi'!$A$2:$A$601,'Tabel Referensi'!$B$2:$B$601)</f>
        <v>Lina Halim</v>
      </c>
      <c r="C150" t="str">
        <f>_xlfn.XLOOKUP(A150,'Tabel Referensi'!$A$2:$A$601,'Tabel Referensi'!$C$2:$C$601)</f>
        <v>088412528669</v>
      </c>
      <c r="D150" t="str">
        <f>_xlfn.XLOOKUP(A150,'Tabel Referensi'!$A$2:$A$601,'Tabel Referensi'!$D$2:$D$601)</f>
        <v>Malang</v>
      </c>
    </row>
    <row r="151" spans="1:4" x14ac:dyDescent="0.35">
      <c r="A151" s="2">
        <v>10467</v>
      </c>
      <c r="B151" t="str">
        <f>_xlfn.XLOOKUP(A151,'Tabel Referensi'!$A$2:$A$601,'Tabel Referensi'!$B$2:$B$601)</f>
        <v>Umi Gunawan</v>
      </c>
      <c r="C151" t="str">
        <f>_xlfn.XLOOKUP(A151,'Tabel Referensi'!$A$2:$A$601,'Tabel Referensi'!$C$2:$C$601)</f>
        <v>08855716176</v>
      </c>
      <c r="D151" t="str">
        <f>_xlfn.XLOOKUP(A151,'Tabel Referensi'!$A$2:$A$601,'Tabel Referensi'!$D$2:$D$601)</f>
        <v>Palembang</v>
      </c>
    </row>
    <row r="152" spans="1:4" x14ac:dyDescent="0.35">
      <c r="A152" s="2">
        <v>10497</v>
      </c>
      <c r="B152" t="str">
        <f>_xlfn.XLOOKUP(A152,'Tabel Referensi'!$A$2:$A$601,'Tabel Referensi'!$B$2:$B$601)</f>
        <v>Oki Marpaung</v>
      </c>
      <c r="C152" t="str">
        <f>_xlfn.XLOOKUP(A152,'Tabel Referensi'!$A$2:$A$601,'Tabel Referensi'!$C$2:$C$601)</f>
        <v>088911110961</v>
      </c>
      <c r="D152" t="str">
        <f>_xlfn.XLOOKUP(A152,'Tabel Referensi'!$A$2:$A$601,'Tabel Referensi'!$D$2:$D$601)</f>
        <v>Surabaya</v>
      </c>
    </row>
    <row r="153" spans="1:4" x14ac:dyDescent="0.35">
      <c r="A153" s="2">
        <v>10323</v>
      </c>
      <c r="B153" t="str">
        <f>_xlfn.XLOOKUP(A153,'Tabel Referensi'!$A$2:$A$601,'Tabel Referensi'!$B$2:$B$601)</f>
        <v>Made Halim</v>
      </c>
      <c r="C153" t="str">
        <f>_xlfn.XLOOKUP(A153,'Tabel Referensi'!$A$2:$A$601,'Tabel Referensi'!$C$2:$C$601)</f>
        <v>088674266299</v>
      </c>
      <c r="D153" t="str">
        <f>_xlfn.XLOOKUP(A153,'Tabel Referensi'!$A$2:$A$601,'Tabel Referensi'!$D$2:$D$601)</f>
        <v>Semarang</v>
      </c>
    </row>
    <row r="154" spans="1:4" x14ac:dyDescent="0.35">
      <c r="A154" s="2">
        <v>10284</v>
      </c>
      <c r="B154" t="str">
        <f>_xlfn.XLOOKUP(A154,'Tabel Referensi'!$A$2:$A$601,'Tabel Referensi'!$B$2:$B$601)</f>
        <v>Fajar Rahayu</v>
      </c>
      <c r="C154" t="str">
        <f>_xlfn.XLOOKUP(A154,'Tabel Referensi'!$A$2:$A$601,'Tabel Referensi'!$C$2:$C$601)</f>
        <v>08290227846</v>
      </c>
      <c r="D154" t="str">
        <f>_xlfn.XLOOKUP(A154,'Tabel Referensi'!$A$2:$A$601,'Tabel Referensi'!$D$2:$D$601)</f>
        <v>Jakarta</v>
      </c>
    </row>
    <row r="155" spans="1:4" x14ac:dyDescent="0.35">
      <c r="A155" s="2">
        <v>10270</v>
      </c>
      <c r="B155" t="str">
        <f>_xlfn.XLOOKUP(A155,'Tabel Referensi'!$A$2:$A$601,'Tabel Referensi'!$B$2:$B$601)</f>
        <v>Chandra Rahayu</v>
      </c>
      <c r="C155" t="str">
        <f>_xlfn.XLOOKUP(A155,'Tabel Referensi'!$A$2:$A$601,'Tabel Referensi'!$C$2:$C$601)</f>
        <v>088998279501</v>
      </c>
      <c r="D155" t="str">
        <f>_xlfn.XLOOKUP(A155,'Tabel Referensi'!$A$2:$A$601,'Tabel Referensi'!$D$2:$D$601)</f>
        <v>Jakarta</v>
      </c>
    </row>
    <row r="156" spans="1:4" x14ac:dyDescent="0.35">
      <c r="A156" s="2">
        <v>10112</v>
      </c>
      <c r="B156" t="str">
        <f>_xlfn.XLOOKUP(A156,'Tabel Referensi'!$A$2:$A$601,'Tabel Referensi'!$B$2:$B$601)</f>
        <v>Indah Halim</v>
      </c>
      <c r="C156" t="str">
        <f>_xlfn.XLOOKUP(A156,'Tabel Referensi'!$A$2:$A$601,'Tabel Referensi'!$C$2:$C$601)</f>
        <v/>
      </c>
      <c r="D156" t="str">
        <f>_xlfn.XLOOKUP(A156,'Tabel Referensi'!$A$2:$A$601,'Tabel Referensi'!$D$2:$D$601)</f>
        <v>Palembang</v>
      </c>
    </row>
    <row r="157" spans="1:4" x14ac:dyDescent="0.35">
      <c r="A157" s="2">
        <v>10519</v>
      </c>
      <c r="B157" t="str">
        <f>_xlfn.XLOOKUP(A157,'Tabel Referensi'!$A$2:$A$601,'Tabel Referensi'!$B$2:$B$601)</f>
        <v>Hadi Siregar</v>
      </c>
      <c r="C157" t="str">
        <f>_xlfn.XLOOKUP(A157,'Tabel Referensi'!$A$2:$A$601,'Tabel Referensi'!$C$2:$C$601)</f>
        <v>088940128974</v>
      </c>
      <c r="D157" t="str">
        <f>_xlfn.XLOOKUP(A157,'Tabel Referensi'!$A$2:$A$601,'Tabel Referensi'!$D$2:$D$601)</f>
        <v>Makassar</v>
      </c>
    </row>
    <row r="158" spans="1:4" x14ac:dyDescent="0.35">
      <c r="A158" s="2">
        <v>10128</v>
      </c>
      <c r="B158" t="str">
        <f>_xlfn.XLOOKUP(A158,'Tabel Referensi'!$A$2:$A$601,'Tabel Referensi'!$B$2:$B$601)</f>
        <v>Fitri Nugroho</v>
      </c>
      <c r="C158" t="str">
        <f>_xlfn.XLOOKUP(A158,'Tabel Referensi'!$A$2:$A$601,'Tabel Referensi'!$C$2:$C$601)</f>
        <v>088266093796</v>
      </c>
      <c r="D158" t="str">
        <f>_xlfn.XLOOKUP(A158,'Tabel Referensi'!$A$2:$A$601,'Tabel Referensi'!$D$2:$D$601)</f>
        <v>Surabaya</v>
      </c>
    </row>
    <row r="159" spans="1:4" x14ac:dyDescent="0.35">
      <c r="A159" s="2">
        <v>10143</v>
      </c>
      <c r="B159" t="str">
        <f>_xlfn.XLOOKUP(A159,'Tabel Referensi'!$A$2:$A$601,'Tabel Referensi'!$B$2:$B$601)</f>
        <v>Rian Rahayu</v>
      </c>
      <c r="C159" t="str">
        <f>_xlfn.XLOOKUP(A159,'Tabel Referensi'!$A$2:$A$601,'Tabel Referensi'!$C$2:$C$601)</f>
        <v>088183285691</v>
      </c>
      <c r="D159" t="str">
        <f>_xlfn.XLOOKUP(A159,'Tabel Referensi'!$A$2:$A$601,'Tabel Referensi'!$D$2:$D$601)</f>
        <v>Makassar</v>
      </c>
    </row>
    <row r="160" spans="1:4" x14ac:dyDescent="0.35">
      <c r="A160" s="2">
        <v>10475</v>
      </c>
      <c r="B160" t="str">
        <f>_xlfn.XLOOKUP(A160,'Tabel Referensi'!$A$2:$A$601,'Tabel Referensi'!$B$2:$B$601)</f>
        <v>Yani Setiawan</v>
      </c>
      <c r="C160" t="str">
        <f>_xlfn.XLOOKUP(A160,'Tabel Referensi'!$A$2:$A$601,'Tabel Referensi'!$C$2:$C$601)</f>
        <v>088303662543</v>
      </c>
      <c r="D160" t="str">
        <f>_xlfn.XLOOKUP(A160,'Tabel Referensi'!$A$2:$A$601,'Tabel Referensi'!$D$2:$D$601)</f>
        <v>Jakarta</v>
      </c>
    </row>
    <row r="161" spans="1:4" x14ac:dyDescent="0.35">
      <c r="A161" s="2">
        <v>10485</v>
      </c>
      <c r="B161" t="str">
        <f>_xlfn.XLOOKUP(A161,'Tabel Referensi'!$A$2:$A$601,'Tabel Referensi'!$B$2:$B$601)</f>
        <v>Tono Nasution</v>
      </c>
      <c r="C161" t="str">
        <f>_xlfn.XLOOKUP(A161,'Tabel Referensi'!$A$2:$A$601,'Tabel Referensi'!$C$2:$C$601)</f>
        <v>088652156818</v>
      </c>
      <c r="D161" t="str">
        <f>_xlfn.XLOOKUP(A161,'Tabel Referensi'!$A$2:$A$601,'Tabel Referensi'!$D$2:$D$601)</f>
        <v>Medan</v>
      </c>
    </row>
    <row r="162" spans="1:4" x14ac:dyDescent="0.35">
      <c r="A162" s="2">
        <v>10252</v>
      </c>
      <c r="B162" t="str">
        <f>_xlfn.XLOOKUP(A162,'Tabel Referensi'!$A$2:$A$601,'Tabel Referensi'!$B$2:$B$601)</f>
        <v>Erik Nugroho</v>
      </c>
      <c r="C162" t="str">
        <f>_xlfn.XLOOKUP(A162,'Tabel Referensi'!$A$2:$A$601,'Tabel Referensi'!$C$2:$C$601)</f>
        <v>088279194096</v>
      </c>
      <c r="D162" t="str">
        <f>_xlfn.XLOOKUP(A162,'Tabel Referensi'!$A$2:$A$601,'Tabel Referensi'!$D$2:$D$601)</f>
        <v>Semarang</v>
      </c>
    </row>
    <row r="163" spans="1:4" x14ac:dyDescent="0.35">
      <c r="A163" s="2">
        <v>10136</v>
      </c>
      <c r="B163" t="str">
        <f>_xlfn.XLOOKUP(A163,'Tabel Referensi'!$A$2:$A$601,'Tabel Referensi'!$B$2:$B$601)</f>
        <v>Rian Setiawan</v>
      </c>
      <c r="C163" t="str">
        <f>_xlfn.XLOOKUP(A163,'Tabel Referensi'!$A$2:$A$601,'Tabel Referensi'!$C$2:$C$601)</f>
        <v>08636374545</v>
      </c>
      <c r="D163" t="str">
        <f>_xlfn.XLOOKUP(A163,'Tabel Referensi'!$A$2:$A$601,'Tabel Referensi'!$D$2:$D$601)</f>
        <v>Palembang</v>
      </c>
    </row>
    <row r="164" spans="1:4" x14ac:dyDescent="0.35">
      <c r="A164" s="2">
        <v>10433</v>
      </c>
      <c r="B164" t="str">
        <f>_xlfn.XLOOKUP(A164,'Tabel Referensi'!$A$2:$A$601,'Tabel Referensi'!$B$2:$B$601)</f>
        <v>Fajar Nasution</v>
      </c>
      <c r="C164" t="str">
        <f>_xlfn.XLOOKUP(A164,'Tabel Referensi'!$A$2:$A$601,'Tabel Referensi'!$C$2:$C$601)</f>
        <v>088223728179</v>
      </c>
      <c r="D164" t="str">
        <f>_xlfn.XLOOKUP(A164,'Tabel Referensi'!$A$2:$A$601,'Tabel Referensi'!$D$2:$D$601)</f>
        <v>Jakarta</v>
      </c>
    </row>
    <row r="165" spans="1:4" x14ac:dyDescent="0.35">
      <c r="A165" s="2">
        <v>10192</v>
      </c>
      <c r="B165" t="str">
        <f>_xlfn.XLOOKUP(A165,'Tabel Referensi'!$A$2:$A$601,'Tabel Referensi'!$B$2:$B$601)</f>
        <v>Putri Lestari</v>
      </c>
      <c r="C165" t="str">
        <f>_xlfn.XLOOKUP(A165,'Tabel Referensi'!$A$2:$A$601,'Tabel Referensi'!$C$2:$C$601)</f>
        <v>08351609177</v>
      </c>
      <c r="D165" t="str">
        <f>_xlfn.XLOOKUP(A165,'Tabel Referensi'!$A$2:$A$601,'Tabel Referensi'!$D$2:$D$601)</f>
        <v>Jakarta</v>
      </c>
    </row>
    <row r="166" spans="1:4" x14ac:dyDescent="0.35">
      <c r="A166" s="2">
        <v>10434</v>
      </c>
      <c r="B166" t="str">
        <f>_xlfn.XLOOKUP(A166,'Tabel Referensi'!$A$2:$A$601,'Tabel Referensi'!$B$2:$B$601)</f>
        <v>Gita Wijaya</v>
      </c>
      <c r="C166" t="str">
        <f>_xlfn.XLOOKUP(A166,'Tabel Referensi'!$A$2:$A$601,'Tabel Referensi'!$C$2:$C$601)</f>
        <v>088614150937</v>
      </c>
      <c r="D166" t="str">
        <f>_xlfn.XLOOKUP(A166,'Tabel Referensi'!$A$2:$A$601,'Tabel Referensi'!$D$2:$D$601)</f>
        <v>Bandung</v>
      </c>
    </row>
    <row r="167" spans="1:4" x14ac:dyDescent="0.35">
      <c r="A167" s="2">
        <v>10358</v>
      </c>
      <c r="B167" t="str">
        <f>_xlfn.XLOOKUP(A167,'Tabel Referensi'!$A$2:$A$601,'Tabel Referensi'!$B$2:$B$601)</f>
        <v>Erik Santoso</v>
      </c>
      <c r="C167" t="str">
        <f>_xlfn.XLOOKUP(A167,'Tabel Referensi'!$A$2:$A$601,'Tabel Referensi'!$C$2:$C$601)</f>
        <v>088742761707</v>
      </c>
      <c r="D167" t="str">
        <f>_xlfn.XLOOKUP(A167,'Tabel Referensi'!$A$2:$A$601,'Tabel Referensi'!$D$2:$D$601)</f>
        <v>Palembang</v>
      </c>
    </row>
    <row r="168" spans="1:4" x14ac:dyDescent="0.35">
      <c r="A168" s="2">
        <v>10488</v>
      </c>
      <c r="B168" t="str">
        <f>_xlfn.XLOOKUP(A168,'Tabel Referensi'!$A$2:$A$601,'Tabel Referensi'!$B$2:$B$601)</f>
        <v>Kiki Santoso</v>
      </c>
      <c r="C168" t="str">
        <f>_xlfn.XLOOKUP(A168,'Tabel Referensi'!$A$2:$A$601,'Tabel Referensi'!$C$2:$C$601)</f>
        <v>088747472197</v>
      </c>
      <c r="D168" t="str">
        <f>_xlfn.XLOOKUP(A168,'Tabel Referensi'!$A$2:$A$601,'Tabel Referensi'!$D$2:$D$601)</f>
        <v>Surabaya</v>
      </c>
    </row>
    <row r="169" spans="1:4" x14ac:dyDescent="0.35">
      <c r="A169" s="2">
        <v>10421</v>
      </c>
      <c r="B169" t="str">
        <f>_xlfn.XLOOKUP(A169,'Tabel Referensi'!$A$2:$A$601,'Tabel Referensi'!$B$2:$B$601)</f>
        <v>Ahmad Hidayat</v>
      </c>
      <c r="C169" t="str">
        <f>_xlfn.XLOOKUP(A169,'Tabel Referensi'!$A$2:$A$601,'Tabel Referensi'!$C$2:$C$601)</f>
        <v>088131220681</v>
      </c>
      <c r="D169" t="str">
        <f>_xlfn.XLOOKUP(A169,'Tabel Referensi'!$A$2:$A$601,'Tabel Referensi'!$D$2:$D$601)</f>
        <v>Yogyakarta</v>
      </c>
    </row>
    <row r="170" spans="1:4" x14ac:dyDescent="0.35">
      <c r="A170" s="2">
        <v>10096</v>
      </c>
      <c r="B170" t="str">
        <f>_xlfn.XLOOKUP(A170,'Tabel Referensi'!$A$2:$A$601,'Tabel Referensi'!$B$2:$B$601)</f>
        <v>Wawan Nasution</v>
      </c>
      <c r="C170" t="str">
        <f>_xlfn.XLOOKUP(A170,'Tabel Referensi'!$A$2:$A$601,'Tabel Referensi'!$C$2:$C$601)</f>
        <v>088334843443</v>
      </c>
      <c r="D170" t="str">
        <f>_xlfn.XLOOKUP(A170,'Tabel Referensi'!$A$2:$A$601,'Tabel Referensi'!$D$2:$D$601)</f>
        <v>Makassar</v>
      </c>
    </row>
    <row r="171" spans="1:4" x14ac:dyDescent="0.35">
      <c r="A171" s="2">
        <v>10084</v>
      </c>
      <c r="B171" t="str">
        <f>_xlfn.XLOOKUP(A171,'Tabel Referensi'!$A$2:$A$601,'Tabel Referensi'!$B$2:$B$601)</f>
        <v>Erik Simatupang</v>
      </c>
      <c r="C171" t="str">
        <f>_xlfn.XLOOKUP(A171,'Tabel Referensi'!$A$2:$A$601,'Tabel Referensi'!$C$2:$C$601)</f>
        <v>088258313237</v>
      </c>
      <c r="D171" t="str">
        <f>_xlfn.XLOOKUP(A171,'Tabel Referensi'!$A$2:$A$601,'Tabel Referensi'!$D$2:$D$601)</f>
        <v>Yogyakarta</v>
      </c>
    </row>
    <row r="172" spans="1:4" x14ac:dyDescent="0.35">
      <c r="A172" s="2">
        <v>10492</v>
      </c>
      <c r="B172" t="str">
        <f>_xlfn.XLOOKUP(A172,'Tabel Referensi'!$A$2:$A$601,'Tabel Referensi'!$B$2:$B$601)</f>
        <v>Putri Hidayat</v>
      </c>
      <c r="C172" t="str">
        <f>_xlfn.XLOOKUP(A172,'Tabel Referensi'!$A$2:$A$601,'Tabel Referensi'!$C$2:$C$601)</f>
        <v/>
      </c>
      <c r="D172" t="str">
        <f>_xlfn.XLOOKUP(A172,'Tabel Referensi'!$A$2:$A$601,'Tabel Referensi'!$D$2:$D$601)</f>
        <v>Bandung</v>
      </c>
    </row>
    <row r="173" spans="1:4" x14ac:dyDescent="0.35">
      <c r="A173" s="2">
        <v>10161</v>
      </c>
      <c r="B173" t="str">
        <f>_xlfn.XLOOKUP(A173,'Tabel Referensi'!$A$2:$A$601,'Tabel Referensi'!$B$2:$B$601)</f>
        <v>Andi Setiawan</v>
      </c>
      <c r="C173" t="str">
        <f>_xlfn.XLOOKUP(A173,'Tabel Referensi'!$A$2:$A$601,'Tabel Referensi'!$C$2:$C$601)</f>
        <v>088626765861</v>
      </c>
      <c r="D173" t="str">
        <f>_xlfn.XLOOKUP(A173,'Tabel Referensi'!$A$2:$A$601,'Tabel Referensi'!$D$2:$D$601)</f>
        <v>Bandung</v>
      </c>
    </row>
    <row r="174" spans="1:4" x14ac:dyDescent="0.35">
      <c r="A174" s="2">
        <v>10532</v>
      </c>
      <c r="B174" t="str">
        <f>_xlfn.XLOOKUP(A174,'Tabel Referensi'!$A$2:$A$601,'Tabel Referensi'!$B$2:$B$601)</f>
        <v>Chandra Simatupang</v>
      </c>
      <c r="C174" t="str">
        <f>_xlfn.XLOOKUP(A174,'Tabel Referensi'!$A$2:$A$601,'Tabel Referensi'!$C$2:$C$601)</f>
        <v>088837744197</v>
      </c>
      <c r="D174" t="str">
        <f>_xlfn.XLOOKUP(A174,'Tabel Referensi'!$A$2:$A$601,'Tabel Referensi'!$D$2:$D$601)</f>
        <v>Jakarta</v>
      </c>
    </row>
    <row r="175" spans="1:4" x14ac:dyDescent="0.35">
      <c r="A175" s="2">
        <v>10069</v>
      </c>
      <c r="B175" t="str">
        <f>_xlfn.XLOOKUP(A175,'Tabel Referensi'!$A$2:$A$601,'Tabel Referensi'!$B$2:$B$601)</f>
        <v>Vina Santoso</v>
      </c>
      <c r="C175" t="str">
        <f>_xlfn.XLOOKUP(A175,'Tabel Referensi'!$A$2:$A$601,'Tabel Referensi'!$C$2:$C$601)</f>
        <v>088466590515</v>
      </c>
      <c r="D175" t="str">
        <f>_xlfn.XLOOKUP(A175,'Tabel Referensi'!$A$2:$A$601,'Tabel Referensi'!$D$2:$D$601)</f>
        <v>Bandung</v>
      </c>
    </row>
    <row r="176" spans="1:4" x14ac:dyDescent="0.35">
      <c r="A176" s="2">
        <v>10217</v>
      </c>
      <c r="B176" t="str">
        <f>_xlfn.XLOOKUP(A176,'Tabel Referensi'!$A$2:$A$601,'Tabel Referensi'!$B$2:$B$601)</f>
        <v>Nita Lestari</v>
      </c>
      <c r="C176" t="str">
        <f>_xlfn.XLOOKUP(A176,'Tabel Referensi'!$A$2:$A$601,'Tabel Referensi'!$C$2:$C$601)</f>
        <v/>
      </c>
      <c r="D176" t="str">
        <f>_xlfn.XLOOKUP(A176,'Tabel Referensi'!$A$2:$A$601,'Tabel Referensi'!$D$2:$D$601)</f>
        <v>Palembang</v>
      </c>
    </row>
    <row r="177" spans="1:4" x14ac:dyDescent="0.35">
      <c r="A177" s="2">
        <v>10104</v>
      </c>
      <c r="B177" t="str">
        <f>_xlfn.XLOOKUP(A177,'Tabel Referensi'!$A$2:$A$601,'Tabel Referensi'!$B$2:$B$601)</f>
        <v>Oki Pratama</v>
      </c>
      <c r="C177" t="str">
        <f>_xlfn.XLOOKUP(A177,'Tabel Referensi'!$A$2:$A$601,'Tabel Referensi'!$C$2:$C$601)</f>
        <v>088908740640</v>
      </c>
      <c r="D177" t="str">
        <f>_xlfn.XLOOKUP(A177,'Tabel Referensi'!$A$2:$A$601,'Tabel Referensi'!$D$2:$D$601)</f>
        <v>Malang</v>
      </c>
    </row>
    <row r="178" spans="1:4" x14ac:dyDescent="0.35">
      <c r="A178" s="2">
        <v>10064</v>
      </c>
      <c r="B178" t="str">
        <f>_xlfn.XLOOKUP(A178,'Tabel Referensi'!$A$2:$A$601,'Tabel Referensi'!$B$2:$B$601)</f>
        <v>Rian Halim</v>
      </c>
      <c r="C178" t="str">
        <f>_xlfn.XLOOKUP(A178,'Tabel Referensi'!$A$2:$A$601,'Tabel Referensi'!$C$2:$C$601)</f>
        <v>088664160529</v>
      </c>
      <c r="D178" t="str">
        <f>_xlfn.XLOOKUP(A178,'Tabel Referensi'!$A$2:$A$601,'Tabel Referensi'!$D$2:$D$601)</f>
        <v>Makassar</v>
      </c>
    </row>
    <row r="179" spans="1:4" x14ac:dyDescent="0.35">
      <c r="A179" s="2">
        <v>10000</v>
      </c>
      <c r="B179" t="str">
        <f>_xlfn.XLOOKUP(A179,'Tabel Referensi'!$A$2:$A$601,'Tabel Referensi'!$B$2:$B$601)</f>
        <v>Vina Pratama</v>
      </c>
      <c r="C179" t="str">
        <f>_xlfn.XLOOKUP(A179,'Tabel Referensi'!$A$2:$A$601,'Tabel Referensi'!$C$2:$C$601)</f>
        <v>08013389083</v>
      </c>
      <c r="D179" t="str">
        <f>_xlfn.XLOOKUP(A179,'Tabel Referensi'!$A$2:$A$601,'Tabel Referensi'!$D$2:$D$601)</f>
        <v>Semarang</v>
      </c>
    </row>
    <row r="180" spans="1:4" x14ac:dyDescent="0.35">
      <c r="A180" s="2">
        <v>10238</v>
      </c>
      <c r="B180" t="str">
        <f>_xlfn.XLOOKUP(A180,'Tabel Referensi'!$A$2:$A$601,'Tabel Referensi'!$B$2:$B$601)</f>
        <v>Gita Marpaung</v>
      </c>
      <c r="C180" t="str">
        <f>_xlfn.XLOOKUP(A180,'Tabel Referensi'!$A$2:$A$601,'Tabel Referensi'!$C$2:$C$601)</f>
        <v>088389448463</v>
      </c>
      <c r="D180" t="str">
        <f>_xlfn.XLOOKUP(A180,'Tabel Referensi'!$A$2:$A$601,'Tabel Referensi'!$D$2:$D$601)</f>
        <v>Makassar</v>
      </c>
    </row>
    <row r="181" spans="1:4" x14ac:dyDescent="0.35">
      <c r="A181" s="2">
        <v>10479</v>
      </c>
      <c r="B181" t="str">
        <f>_xlfn.XLOOKUP(A181,'Tabel Referensi'!$A$2:$A$601,'Tabel Referensi'!$B$2:$B$601)</f>
        <v>Putri Nugroho</v>
      </c>
      <c r="C181" t="str">
        <f>_xlfn.XLOOKUP(A181,'Tabel Referensi'!$A$2:$A$601,'Tabel Referensi'!$C$2:$C$601)</f>
        <v>088305872105</v>
      </c>
      <c r="D181" t="str">
        <f>_xlfn.XLOOKUP(A181,'Tabel Referensi'!$A$2:$A$601,'Tabel Referensi'!$D$2:$D$601)</f>
        <v>Jakarta</v>
      </c>
    </row>
    <row r="182" spans="1:4" x14ac:dyDescent="0.35">
      <c r="A182" s="2">
        <v>10305</v>
      </c>
      <c r="B182" t="str">
        <f>_xlfn.XLOOKUP(A182,'Tabel Referensi'!$A$2:$A$601,'Tabel Referensi'!$B$2:$B$601)</f>
        <v>Kiki Kusuma</v>
      </c>
      <c r="C182" t="str">
        <f>_xlfn.XLOOKUP(A182,'Tabel Referensi'!$A$2:$A$601,'Tabel Referensi'!$C$2:$C$601)</f>
        <v>088021962071</v>
      </c>
      <c r="D182" t="str">
        <f>_xlfn.XLOOKUP(A182,'Tabel Referensi'!$A$2:$A$601,'Tabel Referensi'!$D$2:$D$601)</f>
        <v>Semarang</v>
      </c>
    </row>
    <row r="183" spans="1:4" x14ac:dyDescent="0.35">
      <c r="A183" s="2">
        <v>10313</v>
      </c>
      <c r="B183" t="str">
        <f>_xlfn.XLOOKUP(A183,'Tabel Referensi'!$A$2:$A$601,'Tabel Referensi'!$B$2:$B$601)</f>
        <v>Joko Nugroho</v>
      </c>
      <c r="C183" t="str">
        <f>_xlfn.XLOOKUP(A183,'Tabel Referensi'!$A$2:$A$601,'Tabel Referensi'!$C$2:$C$601)</f>
        <v>08262570165</v>
      </c>
      <c r="D183" t="str">
        <f>_xlfn.XLOOKUP(A183,'Tabel Referensi'!$A$2:$A$601,'Tabel Referensi'!$D$2:$D$601)</f>
        <v>Medan</v>
      </c>
    </row>
    <row r="184" spans="1:4" x14ac:dyDescent="0.35">
      <c r="A184" s="2">
        <v>10555</v>
      </c>
      <c r="B184" t="str">
        <f>_xlfn.XLOOKUP(A184,'Tabel Referensi'!$A$2:$A$601,'Tabel Referensi'!$B$2:$B$601)</f>
        <v>Rian Marpaung</v>
      </c>
      <c r="C184" t="str">
        <f>_xlfn.XLOOKUP(A184,'Tabel Referensi'!$A$2:$A$601,'Tabel Referensi'!$C$2:$C$601)</f>
        <v>088394353537</v>
      </c>
      <c r="D184" t="str">
        <f>_xlfn.XLOOKUP(A184,'Tabel Referensi'!$A$2:$A$601,'Tabel Referensi'!$D$2:$D$601)</f>
        <v>Jakarta</v>
      </c>
    </row>
    <row r="185" spans="1:4" x14ac:dyDescent="0.35">
      <c r="A185" s="2">
        <v>10164</v>
      </c>
      <c r="B185" t="str">
        <f>_xlfn.XLOOKUP(A185,'Tabel Referensi'!$A$2:$A$601,'Tabel Referensi'!$B$2:$B$601)</f>
        <v>Eka Wijaya</v>
      </c>
      <c r="C185" t="str">
        <f>_xlfn.XLOOKUP(A185,'Tabel Referensi'!$A$2:$A$601,'Tabel Referensi'!$C$2:$C$601)</f>
        <v>088417146774</v>
      </c>
      <c r="D185" t="str">
        <f>_xlfn.XLOOKUP(A185,'Tabel Referensi'!$A$2:$A$601,'Tabel Referensi'!$D$2:$D$601)</f>
        <v>Medan</v>
      </c>
    </row>
    <row r="186" spans="1:4" x14ac:dyDescent="0.35">
      <c r="A186" s="2">
        <v>10114</v>
      </c>
      <c r="B186" t="str">
        <f>_xlfn.XLOOKUP(A186,'Tabel Referensi'!$A$2:$A$601,'Tabel Referensi'!$B$2:$B$601)</f>
        <v>Fajar Lestari</v>
      </c>
      <c r="C186" t="str">
        <f>_xlfn.XLOOKUP(A186,'Tabel Referensi'!$A$2:$A$601,'Tabel Referensi'!$C$2:$C$601)</f>
        <v>08312038750</v>
      </c>
      <c r="D186" t="str">
        <f>_xlfn.XLOOKUP(A186,'Tabel Referensi'!$A$2:$A$601,'Tabel Referensi'!$D$2:$D$601)</f>
        <v>Palembang</v>
      </c>
    </row>
    <row r="187" spans="1:4" x14ac:dyDescent="0.35">
      <c r="A187" s="2">
        <v>10184</v>
      </c>
      <c r="B187" t="str">
        <f>_xlfn.XLOOKUP(A187,'Tabel Referensi'!$A$2:$A$601,'Tabel Referensi'!$B$2:$B$601)</f>
        <v>Yani Nasution</v>
      </c>
      <c r="C187" t="str">
        <f>_xlfn.XLOOKUP(A187,'Tabel Referensi'!$A$2:$A$601,'Tabel Referensi'!$C$2:$C$601)</f>
        <v>088811437447</v>
      </c>
      <c r="D187" t="str">
        <f>_xlfn.XLOOKUP(A187,'Tabel Referensi'!$A$2:$A$601,'Tabel Referensi'!$D$2:$D$601)</f>
        <v>Bandung</v>
      </c>
    </row>
    <row r="188" spans="1:4" x14ac:dyDescent="0.35">
      <c r="A188" s="2">
        <v>10581</v>
      </c>
      <c r="B188" t="str">
        <f>_xlfn.XLOOKUP(A188,'Tabel Referensi'!$A$2:$A$601,'Tabel Referensi'!$B$2:$B$601)</f>
        <v>Tono Lestari</v>
      </c>
      <c r="C188" t="str">
        <f>_xlfn.XLOOKUP(A188,'Tabel Referensi'!$A$2:$A$601,'Tabel Referensi'!$C$2:$C$601)</f>
        <v>088659994973</v>
      </c>
      <c r="D188" t="str">
        <f>_xlfn.XLOOKUP(A188,'Tabel Referensi'!$A$2:$A$601,'Tabel Referensi'!$D$2:$D$601)</f>
        <v>Bandung</v>
      </c>
    </row>
    <row r="189" spans="1:4" x14ac:dyDescent="0.35">
      <c r="A189" s="2">
        <v>10110</v>
      </c>
      <c r="B189" t="str">
        <f>_xlfn.XLOOKUP(A189,'Tabel Referensi'!$A$2:$A$601,'Tabel Referensi'!$B$2:$B$601)</f>
        <v>Vina Kusuma</v>
      </c>
      <c r="C189" t="str">
        <f>_xlfn.XLOOKUP(A189,'Tabel Referensi'!$A$2:$A$601,'Tabel Referensi'!$C$2:$C$601)</f>
        <v/>
      </c>
      <c r="D189" t="str">
        <f>_xlfn.XLOOKUP(A189,'Tabel Referensi'!$A$2:$A$601,'Tabel Referensi'!$D$2:$D$601)</f>
        <v>Yogyakarta</v>
      </c>
    </row>
    <row r="190" spans="1:4" x14ac:dyDescent="0.35">
      <c r="A190" s="2">
        <v>10528</v>
      </c>
      <c r="B190" t="str">
        <f>_xlfn.XLOOKUP(A190,'Tabel Referensi'!$A$2:$A$601,'Tabel Referensi'!$B$2:$B$601)</f>
        <v>Dewi Lestari</v>
      </c>
      <c r="C190" t="str">
        <f>_xlfn.XLOOKUP(A190,'Tabel Referensi'!$A$2:$A$601,'Tabel Referensi'!$C$2:$C$601)</f>
        <v>088670806129</v>
      </c>
      <c r="D190" t="str">
        <f>_xlfn.XLOOKUP(A190,'Tabel Referensi'!$A$2:$A$601,'Tabel Referensi'!$D$2:$D$601)</f>
        <v>Palembang</v>
      </c>
    </row>
    <row r="191" spans="1:4" x14ac:dyDescent="0.35">
      <c r="A191" s="2">
        <v>10002</v>
      </c>
      <c r="B191" t="str">
        <f>_xlfn.XLOOKUP(A191,'Tabel Referensi'!$A$2:$A$601,'Tabel Referensi'!$B$2:$B$601)</f>
        <v>Citra Rahayu</v>
      </c>
      <c r="C191" t="str">
        <f>_xlfn.XLOOKUP(A191,'Tabel Referensi'!$A$2:$A$601,'Tabel Referensi'!$C$2:$C$601)</f>
        <v>088164752553</v>
      </c>
      <c r="D191" t="str">
        <f>_xlfn.XLOOKUP(A191,'Tabel Referensi'!$A$2:$A$601,'Tabel Referensi'!$D$2:$D$601)</f>
        <v>Yogyakarta</v>
      </c>
    </row>
    <row r="192" spans="1:4" x14ac:dyDescent="0.35">
      <c r="A192" s="2">
        <v>10254</v>
      </c>
      <c r="B192" t="str">
        <f>_xlfn.XLOOKUP(A192,'Tabel Referensi'!$A$2:$A$601,'Tabel Referensi'!$B$2:$B$601)</f>
        <v>Oki Kusuma</v>
      </c>
      <c r="C192" t="str">
        <f>_xlfn.XLOOKUP(A192,'Tabel Referensi'!$A$2:$A$601,'Tabel Referensi'!$C$2:$C$601)</f>
        <v>088864168622</v>
      </c>
      <c r="D192" t="str">
        <f>_xlfn.XLOOKUP(A192,'Tabel Referensi'!$A$2:$A$601,'Tabel Referensi'!$D$2:$D$601)</f>
        <v>Makassar</v>
      </c>
    </row>
    <row r="193" spans="1:4" x14ac:dyDescent="0.35">
      <c r="A193" s="2">
        <v>10393</v>
      </c>
      <c r="B193" t="str">
        <f>_xlfn.XLOOKUP(A193,'Tabel Referensi'!$A$2:$A$601,'Tabel Referensi'!$B$2:$B$601)</f>
        <v>Andi Nugroho</v>
      </c>
      <c r="C193" t="str">
        <f>_xlfn.XLOOKUP(A193,'Tabel Referensi'!$A$2:$A$601,'Tabel Referensi'!$C$2:$C$601)</f>
        <v>088750479303</v>
      </c>
      <c r="D193" t="str">
        <f>_xlfn.XLOOKUP(A193,'Tabel Referensi'!$A$2:$A$601,'Tabel Referensi'!$D$2:$D$601)</f>
        <v>Semarang</v>
      </c>
    </row>
    <row r="194" spans="1:4" x14ac:dyDescent="0.35">
      <c r="A194" s="2">
        <v>10357</v>
      </c>
      <c r="B194" t="str">
        <f>_xlfn.XLOOKUP(A194,'Tabel Referensi'!$A$2:$A$601,'Tabel Referensi'!$B$2:$B$601)</f>
        <v>Erik Simatupang</v>
      </c>
      <c r="C194" t="str">
        <f>_xlfn.XLOOKUP(A194,'Tabel Referensi'!$A$2:$A$601,'Tabel Referensi'!$C$2:$C$601)</f>
        <v>088745644948</v>
      </c>
      <c r="D194" t="str">
        <f>_xlfn.XLOOKUP(A194,'Tabel Referensi'!$A$2:$A$601,'Tabel Referensi'!$D$2:$D$601)</f>
        <v>Jakarta</v>
      </c>
    </row>
    <row r="195" spans="1:4" x14ac:dyDescent="0.35">
      <c r="A195" s="2">
        <v>10153</v>
      </c>
      <c r="B195" t="str">
        <f>_xlfn.XLOOKUP(A195,'Tabel Referensi'!$A$2:$A$601,'Tabel Referensi'!$B$2:$B$601)</f>
        <v>Dewi Saputra</v>
      </c>
      <c r="C195" t="str">
        <f>_xlfn.XLOOKUP(A195,'Tabel Referensi'!$A$2:$A$601,'Tabel Referensi'!$C$2:$C$601)</f>
        <v>088101372151</v>
      </c>
      <c r="D195" t="str">
        <f>_xlfn.XLOOKUP(A195,'Tabel Referensi'!$A$2:$A$601,'Tabel Referensi'!$D$2:$D$601)</f>
        <v>Bandung</v>
      </c>
    </row>
    <row r="196" spans="1:4" x14ac:dyDescent="0.35">
      <c r="A196" s="2">
        <v>10055</v>
      </c>
      <c r="B196" t="str">
        <f>_xlfn.XLOOKUP(A196,'Tabel Referensi'!$A$2:$A$601,'Tabel Referensi'!$B$2:$B$601)</f>
        <v>Citra Hidayat</v>
      </c>
      <c r="C196" t="str">
        <f>_xlfn.XLOOKUP(A196,'Tabel Referensi'!$A$2:$A$601,'Tabel Referensi'!$C$2:$C$601)</f>
        <v>088210205395</v>
      </c>
      <c r="D196" t="str">
        <f>_xlfn.XLOOKUP(A196,'Tabel Referensi'!$A$2:$A$601,'Tabel Referensi'!$D$2:$D$601)</f>
        <v>Bandung</v>
      </c>
    </row>
    <row r="197" spans="1:4" x14ac:dyDescent="0.35">
      <c r="A197" s="2">
        <v>10319</v>
      </c>
      <c r="B197" t="str">
        <f>_xlfn.XLOOKUP(A197,'Tabel Referensi'!$A$2:$A$601,'Tabel Referensi'!$B$2:$B$601)</f>
        <v>Oki Santoso</v>
      </c>
      <c r="C197" t="str">
        <f>_xlfn.XLOOKUP(A197,'Tabel Referensi'!$A$2:$A$601,'Tabel Referensi'!$C$2:$C$601)</f>
        <v>08059274523</v>
      </c>
      <c r="D197" t="str">
        <f>_xlfn.XLOOKUP(A197,'Tabel Referensi'!$A$2:$A$601,'Tabel Referensi'!$D$2:$D$601)</f>
        <v>Surabaya</v>
      </c>
    </row>
    <row r="198" spans="1:4" x14ac:dyDescent="0.35">
      <c r="A198" s="2">
        <v>10258</v>
      </c>
      <c r="B198" t="str">
        <f>_xlfn.XLOOKUP(A198,'Tabel Referensi'!$A$2:$A$601,'Tabel Referensi'!$B$2:$B$601)</f>
        <v>Fajar Wijaya</v>
      </c>
      <c r="C198" t="str">
        <f>_xlfn.XLOOKUP(A198,'Tabel Referensi'!$A$2:$A$601,'Tabel Referensi'!$C$2:$C$601)</f>
        <v>088451046368</v>
      </c>
      <c r="D198" t="str">
        <f>_xlfn.XLOOKUP(A198,'Tabel Referensi'!$A$2:$A$601,'Tabel Referensi'!$D$2:$D$601)</f>
        <v>Bandung</v>
      </c>
    </row>
    <row r="199" spans="1:4" x14ac:dyDescent="0.35">
      <c r="A199" s="2">
        <v>10396</v>
      </c>
      <c r="B199" t="str">
        <f>_xlfn.XLOOKUP(A199,'Tabel Referensi'!$A$2:$A$601,'Tabel Referensi'!$B$2:$B$601)</f>
        <v>Kiki Saputra</v>
      </c>
      <c r="C199" t="str">
        <f>_xlfn.XLOOKUP(A199,'Tabel Referensi'!$A$2:$A$601,'Tabel Referensi'!$C$2:$C$601)</f>
        <v>088325411076</v>
      </c>
      <c r="D199" t="str">
        <f>_xlfn.XLOOKUP(A199,'Tabel Referensi'!$A$2:$A$601,'Tabel Referensi'!$D$2:$D$601)</f>
        <v>Bandung</v>
      </c>
    </row>
    <row r="200" spans="1:4" x14ac:dyDescent="0.35">
      <c r="A200" s="2">
        <v>10205</v>
      </c>
      <c r="B200" t="str">
        <f>_xlfn.XLOOKUP(A200,'Tabel Referensi'!$A$2:$A$601,'Tabel Referensi'!$B$2:$B$601)</f>
        <v>Fajar Nugroho</v>
      </c>
      <c r="C200" t="str">
        <f>_xlfn.XLOOKUP(A200,'Tabel Referensi'!$A$2:$A$601,'Tabel Referensi'!$C$2:$C$601)</f>
        <v/>
      </c>
      <c r="D200" t="str">
        <f>_xlfn.XLOOKUP(A200,'Tabel Referensi'!$A$2:$A$601,'Tabel Referensi'!$D$2:$D$601)</f>
        <v>Semarang</v>
      </c>
    </row>
    <row r="201" spans="1:4" x14ac:dyDescent="0.35">
      <c r="A201" s="2">
        <v>10121</v>
      </c>
      <c r="B201" t="str">
        <f>_xlfn.XLOOKUP(A201,'Tabel Referensi'!$A$2:$A$601,'Tabel Referensi'!$B$2:$B$601)</f>
        <v>Lina Kusuma</v>
      </c>
      <c r="C201" t="str">
        <f>_xlfn.XLOOKUP(A201,'Tabel Referensi'!$A$2:$A$601,'Tabel Referensi'!$C$2:$C$601)</f>
        <v>088398262244</v>
      </c>
      <c r="D201" t="str">
        <f>_xlfn.XLOOKUP(A201,'Tabel Referensi'!$A$2:$A$601,'Tabel Referensi'!$D$2:$D$601)</f>
        <v>Malang</v>
      </c>
    </row>
    <row r="202" spans="1:4" x14ac:dyDescent="0.35">
      <c r="A202" s="2">
        <v>10021</v>
      </c>
      <c r="B202" t="str">
        <f>_xlfn.XLOOKUP(A202,'Tabel Referensi'!$A$2:$A$601,'Tabel Referensi'!$B$2:$B$601)</f>
        <v>Tono Rahayu</v>
      </c>
      <c r="C202" t="str">
        <f>_xlfn.XLOOKUP(A202,'Tabel Referensi'!$A$2:$A$601,'Tabel Referensi'!$C$2:$C$601)</f>
        <v>088738721489</v>
      </c>
      <c r="D202" t="str">
        <f>_xlfn.XLOOKUP(A202,'Tabel Referensi'!$A$2:$A$601,'Tabel Referensi'!$D$2:$D$601)</f>
        <v>Denpasar</v>
      </c>
    </row>
    <row r="203" spans="1:4" x14ac:dyDescent="0.35">
      <c r="A203" s="2">
        <v>10330</v>
      </c>
      <c r="B203" t="str">
        <f>_xlfn.XLOOKUP(A203,'Tabel Referensi'!$A$2:$A$601,'Tabel Referensi'!$B$2:$B$601)</f>
        <v>Fajar Rahayu</v>
      </c>
      <c r="C203" t="str">
        <f>_xlfn.XLOOKUP(A203,'Tabel Referensi'!$A$2:$A$601,'Tabel Referensi'!$C$2:$C$601)</f>
        <v>088611076031</v>
      </c>
      <c r="D203" t="str">
        <f>_xlfn.XLOOKUP(A203,'Tabel Referensi'!$A$2:$A$601,'Tabel Referensi'!$D$2:$D$601)</f>
        <v>Jakarta</v>
      </c>
    </row>
    <row r="204" spans="1:4" x14ac:dyDescent="0.35">
      <c r="A204" s="2">
        <v>10029</v>
      </c>
      <c r="B204" t="str">
        <f>_xlfn.XLOOKUP(A204,'Tabel Referensi'!$A$2:$A$601,'Tabel Referensi'!$B$2:$B$601)</f>
        <v>Dewi Saputra</v>
      </c>
      <c r="C204" t="str">
        <f>_xlfn.XLOOKUP(A204,'Tabel Referensi'!$A$2:$A$601,'Tabel Referensi'!$C$2:$C$601)</f>
        <v>088491905865</v>
      </c>
      <c r="D204" t="str">
        <f>_xlfn.XLOOKUP(A204,'Tabel Referensi'!$A$2:$A$601,'Tabel Referensi'!$D$2:$D$601)</f>
        <v>Malang</v>
      </c>
    </row>
    <row r="205" spans="1:4" x14ac:dyDescent="0.35">
      <c r="A205" s="2">
        <v>10564</v>
      </c>
      <c r="B205" t="str">
        <f>_xlfn.XLOOKUP(A205,'Tabel Referensi'!$A$2:$A$601,'Tabel Referensi'!$B$2:$B$601)</f>
        <v>Kiki Santoso</v>
      </c>
      <c r="C205" t="str">
        <f>_xlfn.XLOOKUP(A205,'Tabel Referensi'!$A$2:$A$601,'Tabel Referensi'!$C$2:$C$601)</f>
        <v>088853800329</v>
      </c>
      <c r="D205" t="str">
        <f>_xlfn.XLOOKUP(A205,'Tabel Referensi'!$A$2:$A$601,'Tabel Referensi'!$D$2:$D$601)</f>
        <v>Yogyakarta</v>
      </c>
    </row>
    <row r="206" spans="1:4" x14ac:dyDescent="0.35">
      <c r="A206" s="2">
        <v>10262</v>
      </c>
      <c r="B206" t="str">
        <f>_xlfn.XLOOKUP(A206,'Tabel Referensi'!$A$2:$A$601,'Tabel Referensi'!$B$2:$B$601)</f>
        <v>Zaki Saputra</v>
      </c>
      <c r="C206" t="str">
        <f>_xlfn.XLOOKUP(A206,'Tabel Referensi'!$A$2:$A$601,'Tabel Referensi'!$C$2:$C$601)</f>
        <v>088994999393</v>
      </c>
      <c r="D206" t="str">
        <f>_xlfn.XLOOKUP(A206,'Tabel Referensi'!$A$2:$A$601,'Tabel Referensi'!$D$2:$D$601)</f>
        <v>Makassar</v>
      </c>
    </row>
    <row r="207" spans="1:4" x14ac:dyDescent="0.35">
      <c r="A207" s="2">
        <v>10521</v>
      </c>
      <c r="B207" t="str">
        <f>_xlfn.XLOOKUP(A207,'Tabel Referensi'!$A$2:$A$601,'Tabel Referensi'!$B$2:$B$601)</f>
        <v>Erik Kusuma</v>
      </c>
      <c r="C207" t="str">
        <f>_xlfn.XLOOKUP(A207,'Tabel Referensi'!$A$2:$A$601,'Tabel Referensi'!$C$2:$C$601)</f>
        <v>088094388221</v>
      </c>
      <c r="D207" t="str">
        <f>_xlfn.XLOOKUP(A207,'Tabel Referensi'!$A$2:$A$601,'Tabel Referensi'!$D$2:$D$601)</f>
        <v>Medan</v>
      </c>
    </row>
    <row r="208" spans="1:4" x14ac:dyDescent="0.35">
      <c r="A208" s="2">
        <v>10324</v>
      </c>
      <c r="B208" t="str">
        <f>_xlfn.XLOOKUP(A208,'Tabel Referensi'!$A$2:$A$601,'Tabel Referensi'!$B$2:$B$601)</f>
        <v>Gita Rahayu</v>
      </c>
      <c r="C208" t="str">
        <f>_xlfn.XLOOKUP(A208,'Tabel Referensi'!$A$2:$A$601,'Tabel Referensi'!$C$2:$C$601)</f>
        <v>088879232648</v>
      </c>
      <c r="D208" t="str">
        <f>_xlfn.XLOOKUP(A208,'Tabel Referensi'!$A$2:$A$601,'Tabel Referensi'!$D$2:$D$601)</f>
        <v>Denpasar</v>
      </c>
    </row>
    <row r="209" spans="1:4" x14ac:dyDescent="0.35">
      <c r="A209" s="2">
        <v>10389</v>
      </c>
      <c r="B209" t="str">
        <f>_xlfn.XLOOKUP(A209,'Tabel Referensi'!$A$2:$A$601,'Tabel Referensi'!$B$2:$B$601)</f>
        <v>Nita Simatupang</v>
      </c>
      <c r="C209" t="str">
        <f>_xlfn.XLOOKUP(A209,'Tabel Referensi'!$A$2:$A$601,'Tabel Referensi'!$C$2:$C$601)</f>
        <v>088870079420</v>
      </c>
      <c r="D209" t="str">
        <f>_xlfn.XLOOKUP(A209,'Tabel Referensi'!$A$2:$A$601,'Tabel Referensi'!$D$2:$D$601)</f>
        <v>Denpasar</v>
      </c>
    </row>
    <row r="210" spans="1:4" x14ac:dyDescent="0.35">
      <c r="A210" s="2">
        <v>10200</v>
      </c>
      <c r="B210" t="str">
        <f>_xlfn.XLOOKUP(A210,'Tabel Referensi'!$A$2:$A$601,'Tabel Referensi'!$B$2:$B$601)</f>
        <v>Putri Saputra</v>
      </c>
      <c r="C210" t="str">
        <f>_xlfn.XLOOKUP(A210,'Tabel Referensi'!$A$2:$A$601,'Tabel Referensi'!$C$2:$C$601)</f>
        <v>08164840858</v>
      </c>
      <c r="D210" t="str">
        <f>_xlfn.XLOOKUP(A210,'Tabel Referensi'!$A$2:$A$601,'Tabel Referensi'!$D$2:$D$601)</f>
        <v>Yogyakarta</v>
      </c>
    </row>
    <row r="211" spans="1:4" x14ac:dyDescent="0.35">
      <c r="A211" s="2">
        <v>10137</v>
      </c>
      <c r="B211" t="str">
        <f>_xlfn.XLOOKUP(A211,'Tabel Referensi'!$A$2:$A$601,'Tabel Referensi'!$B$2:$B$601)</f>
        <v>Eka Nasution</v>
      </c>
      <c r="C211" t="str">
        <f>_xlfn.XLOOKUP(A211,'Tabel Referensi'!$A$2:$A$601,'Tabel Referensi'!$C$2:$C$601)</f>
        <v/>
      </c>
      <c r="D211" t="str">
        <f>_xlfn.XLOOKUP(A211,'Tabel Referensi'!$A$2:$A$601,'Tabel Referensi'!$D$2:$D$601)</f>
        <v>Medan</v>
      </c>
    </row>
    <row r="212" spans="1:4" x14ac:dyDescent="0.35">
      <c r="A212" s="2">
        <v>10025</v>
      </c>
      <c r="B212" t="str">
        <f>_xlfn.XLOOKUP(A212,'Tabel Referensi'!$A$2:$A$601,'Tabel Referensi'!$B$2:$B$601)</f>
        <v>Kiki Simatupang</v>
      </c>
      <c r="C212" t="str">
        <f>_xlfn.XLOOKUP(A212,'Tabel Referensi'!$A$2:$A$601,'Tabel Referensi'!$C$2:$C$601)</f>
        <v/>
      </c>
      <c r="D212" t="str">
        <f>_xlfn.XLOOKUP(A212,'Tabel Referensi'!$A$2:$A$601,'Tabel Referensi'!$D$2:$D$601)</f>
        <v>Medan</v>
      </c>
    </row>
    <row r="213" spans="1:4" x14ac:dyDescent="0.35">
      <c r="A213" s="2">
        <v>10118</v>
      </c>
      <c r="B213" t="str">
        <f>_xlfn.XLOOKUP(A213,'Tabel Referensi'!$A$2:$A$601,'Tabel Referensi'!$B$2:$B$601)</f>
        <v>Ahmad Siregar</v>
      </c>
      <c r="C213" t="str">
        <f>_xlfn.XLOOKUP(A213,'Tabel Referensi'!$A$2:$A$601,'Tabel Referensi'!$C$2:$C$601)</f>
        <v>088218501631</v>
      </c>
      <c r="D213" t="str">
        <f>_xlfn.XLOOKUP(A213,'Tabel Referensi'!$A$2:$A$601,'Tabel Referensi'!$D$2:$D$601)</f>
        <v>Semarang</v>
      </c>
    </row>
    <row r="214" spans="1:4" x14ac:dyDescent="0.35">
      <c r="A214" s="2">
        <v>10439</v>
      </c>
      <c r="B214" t="str">
        <f>_xlfn.XLOOKUP(A214,'Tabel Referensi'!$A$2:$A$601,'Tabel Referensi'!$B$2:$B$601)</f>
        <v>Putri Nugroho</v>
      </c>
      <c r="C214" t="str">
        <f>_xlfn.XLOOKUP(A214,'Tabel Referensi'!$A$2:$A$601,'Tabel Referensi'!$C$2:$C$601)</f>
        <v>088347128715</v>
      </c>
      <c r="D214" t="str">
        <f>_xlfn.XLOOKUP(A214,'Tabel Referensi'!$A$2:$A$601,'Tabel Referensi'!$D$2:$D$601)</f>
        <v>Bandung</v>
      </c>
    </row>
    <row r="215" spans="1:4" x14ac:dyDescent="0.35">
      <c r="A215" s="2">
        <v>10183</v>
      </c>
      <c r="B215" t="str">
        <f>_xlfn.XLOOKUP(A215,'Tabel Referensi'!$A$2:$A$601,'Tabel Referensi'!$B$2:$B$601)</f>
        <v>Umi Lestari</v>
      </c>
      <c r="C215" t="str">
        <f>_xlfn.XLOOKUP(A215,'Tabel Referensi'!$A$2:$A$601,'Tabel Referensi'!$C$2:$C$601)</f>
        <v>088483564208</v>
      </c>
      <c r="D215" t="str">
        <f>_xlfn.XLOOKUP(A215,'Tabel Referensi'!$A$2:$A$601,'Tabel Referensi'!$D$2:$D$601)</f>
        <v>Jakarta</v>
      </c>
    </row>
    <row r="216" spans="1:4" x14ac:dyDescent="0.35">
      <c r="A216" s="2">
        <v>10314</v>
      </c>
      <c r="B216" t="str">
        <f>_xlfn.XLOOKUP(A216,'Tabel Referensi'!$A$2:$A$601,'Tabel Referensi'!$B$2:$B$601)</f>
        <v>Joko Marpaung</v>
      </c>
      <c r="C216" t="str">
        <f>_xlfn.XLOOKUP(A216,'Tabel Referensi'!$A$2:$A$601,'Tabel Referensi'!$C$2:$C$601)</f>
        <v>088501657905</v>
      </c>
      <c r="D216" t="str">
        <f>_xlfn.XLOOKUP(A216,'Tabel Referensi'!$A$2:$A$601,'Tabel Referensi'!$D$2:$D$601)</f>
        <v>Malang</v>
      </c>
    </row>
    <row r="217" spans="1:4" x14ac:dyDescent="0.35">
      <c r="A217" s="2">
        <v>10242</v>
      </c>
      <c r="B217" t="str">
        <f>_xlfn.XLOOKUP(A217,'Tabel Referensi'!$A$2:$A$601,'Tabel Referensi'!$B$2:$B$601)</f>
        <v>Putri Rahayu</v>
      </c>
      <c r="C217" t="str">
        <f>_xlfn.XLOOKUP(A217,'Tabel Referensi'!$A$2:$A$601,'Tabel Referensi'!$C$2:$C$601)</f>
        <v>08491630097</v>
      </c>
      <c r="D217" t="str">
        <f>_xlfn.XLOOKUP(A217,'Tabel Referensi'!$A$2:$A$601,'Tabel Referensi'!$D$2:$D$601)</f>
        <v>Yogyakarta</v>
      </c>
    </row>
    <row r="218" spans="1:4" x14ac:dyDescent="0.35">
      <c r="A218" s="2">
        <v>10437</v>
      </c>
      <c r="B218" t="str">
        <f>_xlfn.XLOOKUP(A218,'Tabel Referensi'!$A$2:$A$601,'Tabel Referensi'!$B$2:$B$601)</f>
        <v>Dian Setiawan</v>
      </c>
      <c r="C218" t="str">
        <f>_xlfn.XLOOKUP(A218,'Tabel Referensi'!$A$2:$A$601,'Tabel Referensi'!$C$2:$C$601)</f>
        <v>088505057397</v>
      </c>
      <c r="D218" t="str">
        <f>_xlfn.XLOOKUP(A218,'Tabel Referensi'!$A$2:$A$601,'Tabel Referensi'!$D$2:$D$601)</f>
        <v>Yogyakarta</v>
      </c>
    </row>
    <row r="219" spans="1:4" x14ac:dyDescent="0.35">
      <c r="A219" s="2">
        <v>10368</v>
      </c>
      <c r="B219" t="str">
        <f>_xlfn.XLOOKUP(A219,'Tabel Referensi'!$A$2:$A$601,'Tabel Referensi'!$B$2:$B$601)</f>
        <v>Erik Lestari</v>
      </c>
      <c r="C219" t="str">
        <f>_xlfn.XLOOKUP(A219,'Tabel Referensi'!$A$2:$A$601,'Tabel Referensi'!$C$2:$C$601)</f>
        <v>08605016679</v>
      </c>
      <c r="D219" t="str">
        <f>_xlfn.XLOOKUP(A219,'Tabel Referensi'!$A$2:$A$601,'Tabel Referensi'!$D$2:$D$601)</f>
        <v>Palembang</v>
      </c>
    </row>
    <row r="220" spans="1:4" x14ac:dyDescent="0.35">
      <c r="A220" s="2">
        <v>10579</v>
      </c>
      <c r="B220" t="str">
        <f>_xlfn.XLOOKUP(A220,'Tabel Referensi'!$A$2:$A$601,'Tabel Referensi'!$B$2:$B$601)</f>
        <v>Eka Nasution</v>
      </c>
      <c r="C220" t="str">
        <f>_xlfn.XLOOKUP(A220,'Tabel Referensi'!$A$2:$A$601,'Tabel Referensi'!$C$2:$C$601)</f>
        <v/>
      </c>
      <c r="D220" t="str">
        <f>_xlfn.XLOOKUP(A220,'Tabel Referensi'!$A$2:$A$601,'Tabel Referensi'!$D$2:$D$601)</f>
        <v>Medan</v>
      </c>
    </row>
    <row r="221" spans="1:4" x14ac:dyDescent="0.35">
      <c r="A221" s="2">
        <v>10077</v>
      </c>
      <c r="B221" t="str">
        <f>_xlfn.XLOOKUP(A221,'Tabel Referensi'!$A$2:$A$601,'Tabel Referensi'!$B$2:$B$601)</f>
        <v>Yani Lestari</v>
      </c>
      <c r="C221" t="str">
        <f>_xlfn.XLOOKUP(A221,'Tabel Referensi'!$A$2:$A$601,'Tabel Referensi'!$C$2:$C$601)</f>
        <v>088518888806</v>
      </c>
      <c r="D221" t="str">
        <f>_xlfn.XLOOKUP(A221,'Tabel Referensi'!$A$2:$A$601,'Tabel Referensi'!$D$2:$D$601)</f>
        <v>Makassar</v>
      </c>
    </row>
    <row r="222" spans="1:4" x14ac:dyDescent="0.35">
      <c r="A222" s="2">
        <v>10565</v>
      </c>
      <c r="B222" t="str">
        <f>_xlfn.XLOOKUP(A222,'Tabel Referensi'!$A$2:$A$601,'Tabel Referensi'!$B$2:$B$601)</f>
        <v>Wawan Hidayat</v>
      </c>
      <c r="C222" t="str">
        <f>_xlfn.XLOOKUP(A222,'Tabel Referensi'!$A$2:$A$601,'Tabel Referensi'!$C$2:$C$601)</f>
        <v>088306178932</v>
      </c>
      <c r="D222" t="str">
        <f>_xlfn.XLOOKUP(A222,'Tabel Referensi'!$A$2:$A$601,'Tabel Referensi'!$D$2:$D$601)</f>
        <v>Palembang</v>
      </c>
    </row>
    <row r="223" spans="1:4" x14ac:dyDescent="0.35">
      <c r="A223" s="2">
        <v>10592</v>
      </c>
      <c r="B223" t="str">
        <f>_xlfn.XLOOKUP(A223,'Tabel Referensi'!$A$2:$A$601,'Tabel Referensi'!$B$2:$B$601)</f>
        <v>Oki Setiawan</v>
      </c>
      <c r="C223" t="str">
        <f>_xlfn.XLOOKUP(A223,'Tabel Referensi'!$A$2:$A$601,'Tabel Referensi'!$C$2:$C$601)</f>
        <v>088905150267</v>
      </c>
      <c r="D223" t="str">
        <f>_xlfn.XLOOKUP(A223,'Tabel Referensi'!$A$2:$A$601,'Tabel Referensi'!$D$2:$D$601)</f>
        <v>Jakarta</v>
      </c>
    </row>
    <row r="224" spans="1:4" x14ac:dyDescent="0.35">
      <c r="A224" s="2">
        <v>10300</v>
      </c>
      <c r="B224" t="str">
        <f>_xlfn.XLOOKUP(A224,'Tabel Referensi'!$A$2:$A$601,'Tabel Referensi'!$B$2:$B$601)</f>
        <v>Fitri Wijaya</v>
      </c>
      <c r="C224" t="str">
        <f>_xlfn.XLOOKUP(A224,'Tabel Referensi'!$A$2:$A$601,'Tabel Referensi'!$C$2:$C$601)</f>
        <v>088183067198</v>
      </c>
      <c r="D224" t="str">
        <f>_xlfn.XLOOKUP(A224,'Tabel Referensi'!$A$2:$A$601,'Tabel Referensi'!$D$2:$D$601)</f>
        <v>Semarang</v>
      </c>
    </row>
    <row r="225" spans="1:4" x14ac:dyDescent="0.35">
      <c r="A225" s="2">
        <v>10553</v>
      </c>
      <c r="B225" t="str">
        <f>_xlfn.XLOOKUP(A225,'Tabel Referensi'!$A$2:$A$601,'Tabel Referensi'!$B$2:$B$601)</f>
        <v>Dewi Kusuma</v>
      </c>
      <c r="C225" t="str">
        <f>_xlfn.XLOOKUP(A225,'Tabel Referensi'!$A$2:$A$601,'Tabel Referensi'!$C$2:$C$601)</f>
        <v>088595565749</v>
      </c>
      <c r="D225" t="str">
        <f>_xlfn.XLOOKUP(A225,'Tabel Referensi'!$A$2:$A$601,'Tabel Referensi'!$D$2:$D$601)</f>
        <v>Bandung</v>
      </c>
    </row>
    <row r="226" spans="1:4" x14ac:dyDescent="0.35">
      <c r="A226" s="2">
        <v>10362</v>
      </c>
      <c r="B226" t="str">
        <f>_xlfn.XLOOKUP(A226,'Tabel Referensi'!$A$2:$A$601,'Tabel Referensi'!$B$2:$B$601)</f>
        <v>Andi Hidayat</v>
      </c>
      <c r="C226" t="str">
        <f>_xlfn.XLOOKUP(A226,'Tabel Referensi'!$A$2:$A$601,'Tabel Referensi'!$C$2:$C$601)</f>
        <v>088925158377</v>
      </c>
      <c r="D226" t="str">
        <f>_xlfn.XLOOKUP(A226,'Tabel Referensi'!$A$2:$A$601,'Tabel Referensi'!$D$2:$D$601)</f>
        <v>Makassar</v>
      </c>
    </row>
    <row r="227" spans="1:4" x14ac:dyDescent="0.35">
      <c r="A227" s="2">
        <v>10048</v>
      </c>
      <c r="B227" t="str">
        <f>_xlfn.XLOOKUP(A227,'Tabel Referensi'!$A$2:$A$601,'Tabel Referensi'!$B$2:$B$601)</f>
        <v>Fajar Kusuma</v>
      </c>
      <c r="C227" t="str">
        <f>_xlfn.XLOOKUP(A227,'Tabel Referensi'!$A$2:$A$601,'Tabel Referensi'!$C$2:$C$601)</f>
        <v>088074821759</v>
      </c>
      <c r="D227" t="str">
        <f>_xlfn.XLOOKUP(A227,'Tabel Referensi'!$A$2:$A$601,'Tabel Referensi'!$D$2:$D$601)</f>
        <v>Makassar</v>
      </c>
    </row>
    <row r="228" spans="1:4" x14ac:dyDescent="0.35">
      <c r="A228" s="2">
        <v>10539</v>
      </c>
      <c r="B228" t="str">
        <f>_xlfn.XLOOKUP(A228,'Tabel Referensi'!$A$2:$A$601,'Tabel Referensi'!$B$2:$B$601)</f>
        <v>Dian Lestari</v>
      </c>
      <c r="C228" t="str">
        <f>_xlfn.XLOOKUP(A228,'Tabel Referensi'!$A$2:$A$601,'Tabel Referensi'!$C$2:$C$601)</f>
        <v>088730985034</v>
      </c>
      <c r="D228" t="str">
        <f>_xlfn.XLOOKUP(A228,'Tabel Referensi'!$A$2:$A$601,'Tabel Referensi'!$D$2:$D$601)</f>
        <v>Palembang</v>
      </c>
    </row>
    <row r="229" spans="1:4" x14ac:dyDescent="0.35">
      <c r="A229" s="2">
        <v>10491</v>
      </c>
      <c r="B229" t="str">
        <f>_xlfn.XLOOKUP(A229,'Tabel Referensi'!$A$2:$A$601,'Tabel Referensi'!$B$2:$B$601)</f>
        <v>Kiki Kusuma</v>
      </c>
      <c r="C229" t="str">
        <f>_xlfn.XLOOKUP(A229,'Tabel Referensi'!$A$2:$A$601,'Tabel Referensi'!$C$2:$C$601)</f>
        <v>088723590960</v>
      </c>
      <c r="D229" t="str">
        <f>_xlfn.XLOOKUP(A229,'Tabel Referensi'!$A$2:$A$601,'Tabel Referensi'!$D$2:$D$601)</f>
        <v>Yogyakarta</v>
      </c>
    </row>
    <row r="230" spans="1:4" x14ac:dyDescent="0.35">
      <c r="A230" s="2">
        <v>10141</v>
      </c>
      <c r="B230" t="str">
        <f>_xlfn.XLOOKUP(A230,'Tabel Referensi'!$A$2:$A$601,'Tabel Referensi'!$B$2:$B$601)</f>
        <v>Vina Kusuma</v>
      </c>
      <c r="C230" t="str">
        <f>_xlfn.XLOOKUP(A230,'Tabel Referensi'!$A$2:$A$601,'Tabel Referensi'!$C$2:$C$601)</f>
        <v>088836403761</v>
      </c>
      <c r="D230" t="str">
        <f>_xlfn.XLOOKUP(A230,'Tabel Referensi'!$A$2:$A$601,'Tabel Referensi'!$D$2:$D$601)</f>
        <v>Denpasar</v>
      </c>
    </row>
    <row r="231" spans="1:4" x14ac:dyDescent="0.35">
      <c r="A231" s="2">
        <v>10068</v>
      </c>
      <c r="B231" t="str">
        <f>_xlfn.XLOOKUP(A231,'Tabel Referensi'!$A$2:$A$601,'Tabel Referensi'!$B$2:$B$601)</f>
        <v>Citra Kusuma</v>
      </c>
      <c r="C231" t="str">
        <f>_xlfn.XLOOKUP(A231,'Tabel Referensi'!$A$2:$A$601,'Tabel Referensi'!$C$2:$C$601)</f>
        <v>088597820715</v>
      </c>
      <c r="D231" t="str">
        <f>_xlfn.XLOOKUP(A231,'Tabel Referensi'!$A$2:$A$601,'Tabel Referensi'!$D$2:$D$601)</f>
        <v>Malang</v>
      </c>
    </row>
    <row r="232" spans="1:4" x14ac:dyDescent="0.35">
      <c r="A232" s="2">
        <v>10453</v>
      </c>
      <c r="B232" t="str">
        <f>_xlfn.XLOOKUP(A232,'Tabel Referensi'!$A$2:$A$601,'Tabel Referensi'!$B$2:$B$601)</f>
        <v>Hadi Siregar</v>
      </c>
      <c r="C232" t="str">
        <f>_xlfn.XLOOKUP(A232,'Tabel Referensi'!$A$2:$A$601,'Tabel Referensi'!$C$2:$C$601)</f>
        <v>088484910256</v>
      </c>
      <c r="D232" t="str">
        <f>_xlfn.XLOOKUP(A232,'Tabel Referensi'!$A$2:$A$601,'Tabel Referensi'!$D$2:$D$601)</f>
        <v>Jakarta</v>
      </c>
    </row>
    <row r="233" spans="1:4" x14ac:dyDescent="0.35">
      <c r="A233" s="2">
        <v>10010</v>
      </c>
      <c r="B233" t="str">
        <f>_xlfn.XLOOKUP(A233,'Tabel Referensi'!$A$2:$A$601,'Tabel Referensi'!$B$2:$B$601)</f>
        <v>Nita Marpaung</v>
      </c>
      <c r="C233" t="str">
        <f>_xlfn.XLOOKUP(A233,'Tabel Referensi'!$A$2:$A$601,'Tabel Referensi'!$C$2:$C$601)</f>
        <v>08726247317</v>
      </c>
      <c r="D233" t="str">
        <f>_xlfn.XLOOKUP(A233,'Tabel Referensi'!$A$2:$A$601,'Tabel Referensi'!$D$2:$D$601)</f>
        <v>Medan</v>
      </c>
    </row>
    <row r="234" spans="1:4" x14ac:dyDescent="0.35">
      <c r="A234" s="2">
        <v>10045</v>
      </c>
      <c r="B234" t="str">
        <f>_xlfn.XLOOKUP(A234,'Tabel Referensi'!$A$2:$A$601,'Tabel Referensi'!$B$2:$B$601)</f>
        <v>Sari Siregar</v>
      </c>
      <c r="C234" t="str">
        <f>_xlfn.XLOOKUP(A234,'Tabel Referensi'!$A$2:$A$601,'Tabel Referensi'!$C$2:$C$601)</f>
        <v>088662702895</v>
      </c>
      <c r="D234" t="str">
        <f>_xlfn.XLOOKUP(A234,'Tabel Referensi'!$A$2:$A$601,'Tabel Referensi'!$D$2:$D$601)</f>
        <v>Yogyakarta</v>
      </c>
    </row>
    <row r="235" spans="1:4" x14ac:dyDescent="0.35">
      <c r="A235" s="2">
        <v>10304</v>
      </c>
      <c r="B235" t="str">
        <f>_xlfn.XLOOKUP(A235,'Tabel Referensi'!$A$2:$A$601,'Tabel Referensi'!$B$2:$B$601)</f>
        <v>Oki Santoso</v>
      </c>
      <c r="C235" t="str">
        <f>_xlfn.XLOOKUP(A235,'Tabel Referensi'!$A$2:$A$601,'Tabel Referensi'!$C$2:$C$601)</f>
        <v>08651982530</v>
      </c>
      <c r="D235" t="str">
        <f>_xlfn.XLOOKUP(A235,'Tabel Referensi'!$A$2:$A$601,'Tabel Referensi'!$D$2:$D$601)</f>
        <v>Jakarta</v>
      </c>
    </row>
    <row r="236" spans="1:4" x14ac:dyDescent="0.35">
      <c r="A236" s="2">
        <v>10286</v>
      </c>
      <c r="B236" t="str">
        <f>_xlfn.XLOOKUP(A236,'Tabel Referensi'!$A$2:$A$601,'Tabel Referensi'!$B$2:$B$601)</f>
        <v>Dewi Rahayu</v>
      </c>
      <c r="C236" t="str">
        <f>_xlfn.XLOOKUP(A236,'Tabel Referensi'!$A$2:$A$601,'Tabel Referensi'!$C$2:$C$601)</f>
        <v>088272386562</v>
      </c>
      <c r="D236" t="str">
        <f>_xlfn.XLOOKUP(A236,'Tabel Referensi'!$A$2:$A$601,'Tabel Referensi'!$D$2:$D$601)</f>
        <v>Bandung</v>
      </c>
    </row>
    <row r="237" spans="1:4" x14ac:dyDescent="0.35">
      <c r="A237" s="2">
        <v>10058</v>
      </c>
      <c r="B237" t="str">
        <f>_xlfn.XLOOKUP(A237,'Tabel Referensi'!$A$2:$A$601,'Tabel Referensi'!$B$2:$B$601)</f>
        <v>Dewi Pratama</v>
      </c>
      <c r="C237" t="str">
        <f>_xlfn.XLOOKUP(A237,'Tabel Referensi'!$A$2:$A$601,'Tabel Referensi'!$C$2:$C$601)</f>
        <v>088565452711</v>
      </c>
      <c r="D237" t="str">
        <f>_xlfn.XLOOKUP(A237,'Tabel Referensi'!$A$2:$A$601,'Tabel Referensi'!$D$2:$D$601)</f>
        <v>Bandung</v>
      </c>
    </row>
    <row r="238" spans="1:4" x14ac:dyDescent="0.35">
      <c r="A238" s="2">
        <v>10574</v>
      </c>
      <c r="B238" t="str">
        <f>_xlfn.XLOOKUP(A238,'Tabel Referensi'!$A$2:$A$601,'Tabel Referensi'!$B$2:$B$601)</f>
        <v>Hadi Saputra</v>
      </c>
      <c r="C238" t="str">
        <f>_xlfn.XLOOKUP(A238,'Tabel Referensi'!$A$2:$A$601,'Tabel Referensi'!$C$2:$C$601)</f>
        <v>088118237931</v>
      </c>
      <c r="D238" t="str">
        <f>_xlfn.XLOOKUP(A238,'Tabel Referensi'!$A$2:$A$601,'Tabel Referensi'!$D$2:$D$601)</f>
        <v>Bandung</v>
      </c>
    </row>
    <row r="239" spans="1:4" x14ac:dyDescent="0.35">
      <c r="A239" s="2">
        <v>10440</v>
      </c>
      <c r="B239" t="str">
        <f>_xlfn.XLOOKUP(A239,'Tabel Referensi'!$A$2:$A$601,'Tabel Referensi'!$B$2:$B$601)</f>
        <v>Ahmad Kusuma</v>
      </c>
      <c r="C239" t="str">
        <f>_xlfn.XLOOKUP(A239,'Tabel Referensi'!$A$2:$A$601,'Tabel Referensi'!$C$2:$C$601)</f>
        <v>088115931952</v>
      </c>
      <c r="D239" t="str">
        <f>_xlfn.XLOOKUP(A239,'Tabel Referensi'!$A$2:$A$601,'Tabel Referensi'!$D$2:$D$601)</f>
        <v>Makassar</v>
      </c>
    </row>
    <row r="240" spans="1:4" x14ac:dyDescent="0.35">
      <c r="A240" s="2">
        <v>10465</v>
      </c>
      <c r="B240" t="str">
        <f>_xlfn.XLOOKUP(A240,'Tabel Referensi'!$A$2:$A$601,'Tabel Referensi'!$B$2:$B$601)</f>
        <v>Fajar Wijaya</v>
      </c>
      <c r="C240" t="str">
        <f>_xlfn.XLOOKUP(A240,'Tabel Referensi'!$A$2:$A$601,'Tabel Referensi'!$C$2:$C$601)</f>
        <v>088475541108</v>
      </c>
      <c r="D240" t="str">
        <f>_xlfn.XLOOKUP(A240,'Tabel Referensi'!$A$2:$A$601,'Tabel Referensi'!$D$2:$D$601)</f>
        <v>Medan</v>
      </c>
    </row>
    <row r="241" spans="1:4" x14ac:dyDescent="0.35">
      <c r="A241" s="2">
        <v>10239</v>
      </c>
      <c r="B241" t="str">
        <f>_xlfn.XLOOKUP(A241,'Tabel Referensi'!$A$2:$A$601,'Tabel Referensi'!$B$2:$B$601)</f>
        <v>Eka Rahayu</v>
      </c>
      <c r="C241" t="str">
        <f>_xlfn.XLOOKUP(A241,'Tabel Referensi'!$A$2:$A$601,'Tabel Referensi'!$C$2:$C$601)</f>
        <v>088802144270</v>
      </c>
      <c r="D241" t="str">
        <f>_xlfn.XLOOKUP(A241,'Tabel Referensi'!$A$2:$A$601,'Tabel Referensi'!$D$2:$D$601)</f>
        <v>Palembang</v>
      </c>
    </row>
    <row r="242" spans="1:4" x14ac:dyDescent="0.35">
      <c r="A242" s="2">
        <v>10509</v>
      </c>
      <c r="B242" t="str">
        <f>_xlfn.XLOOKUP(A242,'Tabel Referensi'!$A$2:$A$601,'Tabel Referensi'!$B$2:$B$601)</f>
        <v>Tono Marpaung</v>
      </c>
      <c r="C242" t="str">
        <f>_xlfn.XLOOKUP(A242,'Tabel Referensi'!$A$2:$A$601,'Tabel Referensi'!$C$2:$C$601)</f>
        <v>088172959639</v>
      </c>
      <c r="D242" t="str">
        <f>_xlfn.XLOOKUP(A242,'Tabel Referensi'!$A$2:$A$601,'Tabel Referensi'!$D$2:$D$601)</f>
        <v>Yogyakarta</v>
      </c>
    </row>
    <row r="243" spans="1:4" x14ac:dyDescent="0.35">
      <c r="A243" s="2">
        <v>10329</v>
      </c>
      <c r="B243" t="str">
        <f>_xlfn.XLOOKUP(A243,'Tabel Referensi'!$A$2:$A$601,'Tabel Referensi'!$B$2:$B$601)</f>
        <v>Eka Nugroho</v>
      </c>
      <c r="C243" t="str">
        <f>_xlfn.XLOOKUP(A243,'Tabel Referensi'!$A$2:$A$601,'Tabel Referensi'!$C$2:$C$601)</f>
        <v>08207545279</v>
      </c>
      <c r="D243" t="str">
        <f>_xlfn.XLOOKUP(A243,'Tabel Referensi'!$A$2:$A$601,'Tabel Referensi'!$D$2:$D$601)</f>
        <v>Denpasar</v>
      </c>
    </row>
    <row r="244" spans="1:4" x14ac:dyDescent="0.35">
      <c r="A244" s="2">
        <v>10471</v>
      </c>
      <c r="B244" t="str">
        <f>_xlfn.XLOOKUP(A244,'Tabel Referensi'!$A$2:$A$601,'Tabel Referensi'!$B$2:$B$601)</f>
        <v>Joko Gunawan</v>
      </c>
      <c r="C244" t="str">
        <f>_xlfn.XLOOKUP(A244,'Tabel Referensi'!$A$2:$A$601,'Tabel Referensi'!$C$2:$C$601)</f>
        <v>088649837354</v>
      </c>
      <c r="D244" t="str">
        <f>_xlfn.XLOOKUP(A244,'Tabel Referensi'!$A$2:$A$601,'Tabel Referensi'!$D$2:$D$601)</f>
        <v>Medan</v>
      </c>
    </row>
    <row r="245" spans="1:4" x14ac:dyDescent="0.35">
      <c r="A245" s="2">
        <v>10537</v>
      </c>
      <c r="B245" t="str">
        <f>_xlfn.XLOOKUP(A245,'Tabel Referensi'!$A$2:$A$601,'Tabel Referensi'!$B$2:$B$601)</f>
        <v>Oki Halim</v>
      </c>
      <c r="C245" t="str">
        <f>_xlfn.XLOOKUP(A245,'Tabel Referensi'!$A$2:$A$601,'Tabel Referensi'!$C$2:$C$601)</f>
        <v>088477433268</v>
      </c>
      <c r="D245" t="str">
        <f>_xlfn.XLOOKUP(A245,'Tabel Referensi'!$A$2:$A$601,'Tabel Referensi'!$D$2:$D$601)</f>
        <v>Medan</v>
      </c>
    </row>
    <row r="246" spans="1:4" x14ac:dyDescent="0.35">
      <c r="A246" s="2">
        <v>10062</v>
      </c>
      <c r="B246" t="str">
        <f>_xlfn.XLOOKUP(A246,'Tabel Referensi'!$A$2:$A$601,'Tabel Referensi'!$B$2:$B$601)</f>
        <v>Eka Santoso</v>
      </c>
      <c r="C246" t="str">
        <f>_xlfn.XLOOKUP(A246,'Tabel Referensi'!$A$2:$A$601,'Tabel Referensi'!$C$2:$C$601)</f>
        <v>088438156149</v>
      </c>
      <c r="D246" t="str">
        <f>_xlfn.XLOOKUP(A246,'Tabel Referensi'!$A$2:$A$601,'Tabel Referensi'!$D$2:$D$601)</f>
        <v>Medan</v>
      </c>
    </row>
    <row r="247" spans="1:4" x14ac:dyDescent="0.35">
      <c r="A247" s="2">
        <v>10402</v>
      </c>
      <c r="B247" t="str">
        <f>_xlfn.XLOOKUP(A247,'Tabel Referensi'!$A$2:$A$601,'Tabel Referensi'!$B$2:$B$601)</f>
        <v>Yani Gunawan</v>
      </c>
      <c r="C247" t="str">
        <f>_xlfn.XLOOKUP(A247,'Tabel Referensi'!$A$2:$A$601,'Tabel Referensi'!$C$2:$C$601)</f>
        <v>088073033793</v>
      </c>
      <c r="D247" t="str">
        <f>_xlfn.XLOOKUP(A247,'Tabel Referensi'!$A$2:$A$601,'Tabel Referensi'!$D$2:$D$601)</f>
        <v>Malang</v>
      </c>
    </row>
    <row r="248" spans="1:4" x14ac:dyDescent="0.35">
      <c r="A248" s="2">
        <v>10145</v>
      </c>
      <c r="B248" t="str">
        <f>_xlfn.XLOOKUP(A248,'Tabel Referensi'!$A$2:$A$601,'Tabel Referensi'!$B$2:$B$601)</f>
        <v>Fajar Halim</v>
      </c>
      <c r="C248" t="str">
        <f>_xlfn.XLOOKUP(A248,'Tabel Referensi'!$A$2:$A$601,'Tabel Referensi'!$C$2:$C$601)</f>
        <v>088917785079</v>
      </c>
      <c r="D248" t="str">
        <f>_xlfn.XLOOKUP(A248,'Tabel Referensi'!$A$2:$A$601,'Tabel Referensi'!$D$2:$D$601)</f>
        <v>Semarang</v>
      </c>
    </row>
    <row r="249" spans="1:4" x14ac:dyDescent="0.35">
      <c r="A249" s="2">
        <v>10228</v>
      </c>
      <c r="B249" t="str">
        <f>_xlfn.XLOOKUP(A249,'Tabel Referensi'!$A$2:$A$601,'Tabel Referensi'!$B$2:$B$601)</f>
        <v>Rian Marpaung</v>
      </c>
      <c r="C249" t="str">
        <f>_xlfn.XLOOKUP(A249,'Tabel Referensi'!$A$2:$A$601,'Tabel Referensi'!$C$2:$C$601)</f>
        <v>088750036915</v>
      </c>
      <c r="D249" t="str">
        <f>_xlfn.XLOOKUP(A249,'Tabel Referensi'!$A$2:$A$601,'Tabel Referensi'!$D$2:$D$601)</f>
        <v>Denpasar</v>
      </c>
    </row>
    <row r="250" spans="1:4" x14ac:dyDescent="0.35">
      <c r="A250" s="2">
        <v>10028</v>
      </c>
      <c r="B250" t="str">
        <f>_xlfn.XLOOKUP(A250,'Tabel Referensi'!$A$2:$A$601,'Tabel Referensi'!$B$2:$B$601)</f>
        <v>Hadi Kusuma</v>
      </c>
      <c r="C250" t="str">
        <f>_xlfn.XLOOKUP(A250,'Tabel Referensi'!$A$2:$A$601,'Tabel Referensi'!$C$2:$C$601)</f>
        <v>088937452991</v>
      </c>
      <c r="D250" t="str">
        <f>_xlfn.XLOOKUP(A250,'Tabel Referensi'!$A$2:$A$601,'Tabel Referensi'!$D$2:$D$601)</f>
        <v>Medan</v>
      </c>
    </row>
    <row r="251" spans="1:4" x14ac:dyDescent="0.35">
      <c r="A251" s="2">
        <v>10138</v>
      </c>
      <c r="B251" t="str">
        <f>_xlfn.XLOOKUP(A251,'Tabel Referensi'!$A$2:$A$601,'Tabel Referensi'!$B$2:$B$601)</f>
        <v>Gita Lestari</v>
      </c>
      <c r="C251" t="str">
        <f>_xlfn.XLOOKUP(A251,'Tabel Referensi'!$A$2:$A$601,'Tabel Referensi'!$C$2:$C$601)</f>
        <v>088436110371</v>
      </c>
      <c r="D251" t="str">
        <f>_xlfn.XLOOKUP(A251,'Tabel Referensi'!$A$2:$A$601,'Tabel Referensi'!$D$2:$D$601)</f>
        <v>Surabaya</v>
      </c>
    </row>
    <row r="252" spans="1:4" x14ac:dyDescent="0.35">
      <c r="A252" s="2">
        <v>10034</v>
      </c>
      <c r="B252" t="str">
        <f>_xlfn.XLOOKUP(A252,'Tabel Referensi'!$A$2:$A$601,'Tabel Referensi'!$B$2:$B$601)</f>
        <v>Joko Pratama</v>
      </c>
      <c r="C252" t="str">
        <f>_xlfn.XLOOKUP(A252,'Tabel Referensi'!$A$2:$A$601,'Tabel Referensi'!$C$2:$C$601)</f>
        <v>088084271094</v>
      </c>
      <c r="D252" t="str">
        <f>_xlfn.XLOOKUP(A252,'Tabel Referensi'!$A$2:$A$601,'Tabel Referensi'!$D$2:$D$601)</f>
        <v>Semarang</v>
      </c>
    </row>
    <row r="253" spans="1:4" x14ac:dyDescent="0.35">
      <c r="A253" s="2">
        <v>10259</v>
      </c>
      <c r="B253" t="str">
        <f>_xlfn.XLOOKUP(A253,'Tabel Referensi'!$A$2:$A$601,'Tabel Referensi'!$B$2:$B$601)</f>
        <v>Putri Kusuma</v>
      </c>
      <c r="C253" t="str">
        <f>_xlfn.XLOOKUP(A253,'Tabel Referensi'!$A$2:$A$601,'Tabel Referensi'!$C$2:$C$601)</f>
        <v>088620555438</v>
      </c>
      <c r="D253" t="str">
        <f>_xlfn.XLOOKUP(A253,'Tabel Referensi'!$A$2:$A$601,'Tabel Referensi'!$D$2:$D$601)</f>
        <v>Bandung</v>
      </c>
    </row>
    <row r="254" spans="1:4" x14ac:dyDescent="0.35">
      <c r="A254" s="2">
        <v>10352</v>
      </c>
      <c r="B254" t="str">
        <f>_xlfn.XLOOKUP(A254,'Tabel Referensi'!$A$2:$A$601,'Tabel Referensi'!$B$2:$B$601)</f>
        <v>Rian Lestari</v>
      </c>
      <c r="C254" t="str">
        <f>_xlfn.XLOOKUP(A254,'Tabel Referensi'!$A$2:$A$601,'Tabel Referensi'!$C$2:$C$601)</f>
        <v>088316526693</v>
      </c>
      <c r="D254" t="str">
        <f>_xlfn.XLOOKUP(A254,'Tabel Referensi'!$A$2:$A$601,'Tabel Referensi'!$D$2:$D$601)</f>
        <v>Makassar</v>
      </c>
    </row>
    <row r="255" spans="1:4" x14ac:dyDescent="0.35">
      <c r="A255" s="2">
        <v>10575</v>
      </c>
      <c r="B255" t="str">
        <f>_xlfn.XLOOKUP(A255,'Tabel Referensi'!$A$2:$A$601,'Tabel Referensi'!$B$2:$B$601)</f>
        <v>Umi Nasution</v>
      </c>
      <c r="C255" t="str">
        <f>_xlfn.XLOOKUP(A255,'Tabel Referensi'!$A$2:$A$601,'Tabel Referensi'!$C$2:$C$601)</f>
        <v/>
      </c>
      <c r="D255" t="str">
        <f>_xlfn.XLOOKUP(A255,'Tabel Referensi'!$A$2:$A$601,'Tabel Referensi'!$D$2:$D$601)</f>
        <v>Malang</v>
      </c>
    </row>
    <row r="256" spans="1:4" x14ac:dyDescent="0.35">
      <c r="A256" s="2">
        <v>10376</v>
      </c>
      <c r="B256" t="str">
        <f>_xlfn.XLOOKUP(A256,'Tabel Referensi'!$A$2:$A$601,'Tabel Referensi'!$B$2:$B$601)</f>
        <v>Joko Marpaung</v>
      </c>
      <c r="C256" t="str">
        <f>_xlfn.XLOOKUP(A256,'Tabel Referensi'!$A$2:$A$601,'Tabel Referensi'!$C$2:$C$601)</f>
        <v>088738997563</v>
      </c>
      <c r="D256" t="str">
        <f>_xlfn.XLOOKUP(A256,'Tabel Referensi'!$A$2:$A$601,'Tabel Referensi'!$D$2:$D$601)</f>
        <v>Denpasar</v>
      </c>
    </row>
    <row r="257" spans="1:4" x14ac:dyDescent="0.35">
      <c r="A257" s="2">
        <v>10451</v>
      </c>
      <c r="B257" t="str">
        <f>_xlfn.XLOOKUP(A257,'Tabel Referensi'!$A$2:$A$601,'Tabel Referensi'!$B$2:$B$601)</f>
        <v>Indah Marpaung</v>
      </c>
      <c r="C257" t="str">
        <f>_xlfn.XLOOKUP(A257,'Tabel Referensi'!$A$2:$A$601,'Tabel Referensi'!$C$2:$C$601)</f>
        <v>088256609314</v>
      </c>
      <c r="D257" t="str">
        <f>_xlfn.XLOOKUP(A257,'Tabel Referensi'!$A$2:$A$601,'Tabel Referensi'!$D$2:$D$601)</f>
        <v>Denpasar</v>
      </c>
    </row>
    <row r="258" spans="1:4" x14ac:dyDescent="0.35">
      <c r="A258" s="2">
        <v>10302</v>
      </c>
      <c r="B258" t="str">
        <f>_xlfn.XLOOKUP(A258,'Tabel Referensi'!$A$2:$A$601,'Tabel Referensi'!$B$2:$B$601)</f>
        <v>Erik Simatupang</v>
      </c>
      <c r="C258" t="str">
        <f>_xlfn.XLOOKUP(A258,'Tabel Referensi'!$A$2:$A$601,'Tabel Referensi'!$C$2:$C$601)</f>
        <v>088478700505</v>
      </c>
      <c r="D258" t="str">
        <f>_xlfn.XLOOKUP(A258,'Tabel Referensi'!$A$2:$A$601,'Tabel Referensi'!$D$2:$D$601)</f>
        <v>Surabaya</v>
      </c>
    </row>
    <row r="259" spans="1:4" x14ac:dyDescent="0.35">
      <c r="A259" s="2">
        <v>10273</v>
      </c>
      <c r="B259" t="str">
        <f>_xlfn.XLOOKUP(A259,'Tabel Referensi'!$A$2:$A$601,'Tabel Referensi'!$B$2:$B$601)</f>
        <v>Oki Pratama</v>
      </c>
      <c r="C259" t="str">
        <f>_xlfn.XLOOKUP(A259,'Tabel Referensi'!$A$2:$A$601,'Tabel Referensi'!$C$2:$C$601)</f>
        <v>088441448850</v>
      </c>
      <c r="D259" t="str">
        <f>_xlfn.XLOOKUP(A259,'Tabel Referensi'!$A$2:$A$601,'Tabel Referensi'!$D$2:$D$601)</f>
        <v>Malang</v>
      </c>
    </row>
    <row r="260" spans="1:4" x14ac:dyDescent="0.35">
      <c r="A260" s="2">
        <v>10315</v>
      </c>
      <c r="B260" t="str">
        <f>_xlfn.XLOOKUP(A260,'Tabel Referensi'!$A$2:$A$601,'Tabel Referensi'!$B$2:$B$601)</f>
        <v>Vina Kusuma</v>
      </c>
      <c r="C260" t="str">
        <f>_xlfn.XLOOKUP(A260,'Tabel Referensi'!$A$2:$A$601,'Tabel Referensi'!$C$2:$C$601)</f>
        <v>088335548640</v>
      </c>
      <c r="D260" t="str">
        <f>_xlfn.XLOOKUP(A260,'Tabel Referensi'!$A$2:$A$601,'Tabel Referensi'!$D$2:$D$601)</f>
        <v>Bandung</v>
      </c>
    </row>
    <row r="261" spans="1:4" x14ac:dyDescent="0.35">
      <c r="A261" s="2">
        <v>10337</v>
      </c>
      <c r="B261" t="str">
        <f>_xlfn.XLOOKUP(A261,'Tabel Referensi'!$A$2:$A$601,'Tabel Referensi'!$B$2:$B$601)</f>
        <v>Wawan Gunawan</v>
      </c>
      <c r="C261" t="str">
        <f>_xlfn.XLOOKUP(A261,'Tabel Referensi'!$A$2:$A$601,'Tabel Referensi'!$C$2:$C$601)</f>
        <v>088778485880</v>
      </c>
      <c r="D261" t="str">
        <f>_xlfn.XLOOKUP(A261,'Tabel Referensi'!$A$2:$A$601,'Tabel Referensi'!$D$2:$D$601)</f>
        <v>Semarang</v>
      </c>
    </row>
    <row r="262" spans="1:4" x14ac:dyDescent="0.35">
      <c r="A262" s="2">
        <v>10426</v>
      </c>
      <c r="B262" t="str">
        <f>_xlfn.XLOOKUP(A262,'Tabel Referensi'!$A$2:$A$601,'Tabel Referensi'!$B$2:$B$601)</f>
        <v>Budi Nugroho</v>
      </c>
      <c r="C262" t="str">
        <f>_xlfn.XLOOKUP(A262,'Tabel Referensi'!$A$2:$A$601,'Tabel Referensi'!$C$2:$C$601)</f>
        <v>08130232129</v>
      </c>
      <c r="D262" t="str">
        <f>_xlfn.XLOOKUP(A262,'Tabel Referensi'!$A$2:$A$601,'Tabel Referensi'!$D$2:$D$601)</f>
        <v>Malang</v>
      </c>
    </row>
    <row r="263" spans="1:4" x14ac:dyDescent="0.35">
      <c r="A263" s="2">
        <v>10255</v>
      </c>
      <c r="B263" t="str">
        <f>_xlfn.XLOOKUP(A263,'Tabel Referensi'!$A$2:$A$601,'Tabel Referensi'!$B$2:$B$601)</f>
        <v>Gita Nasution</v>
      </c>
      <c r="C263" t="str">
        <f>_xlfn.XLOOKUP(A263,'Tabel Referensi'!$A$2:$A$601,'Tabel Referensi'!$C$2:$C$601)</f>
        <v>088591166553</v>
      </c>
      <c r="D263" t="str">
        <f>_xlfn.XLOOKUP(A263,'Tabel Referensi'!$A$2:$A$601,'Tabel Referensi'!$D$2:$D$601)</f>
        <v>Malang</v>
      </c>
    </row>
    <row r="264" spans="1:4" x14ac:dyDescent="0.35">
      <c r="A264" s="2">
        <v>10525</v>
      </c>
      <c r="B264" t="str">
        <f>_xlfn.XLOOKUP(A264,'Tabel Referensi'!$A$2:$A$601,'Tabel Referensi'!$B$2:$B$601)</f>
        <v>Umi Santoso</v>
      </c>
      <c r="C264" t="str">
        <f>_xlfn.XLOOKUP(A264,'Tabel Referensi'!$A$2:$A$601,'Tabel Referensi'!$C$2:$C$601)</f>
        <v>088107406500</v>
      </c>
      <c r="D264" t="str">
        <f>_xlfn.XLOOKUP(A264,'Tabel Referensi'!$A$2:$A$601,'Tabel Referensi'!$D$2:$D$601)</f>
        <v>Palembang</v>
      </c>
    </row>
    <row r="265" spans="1:4" x14ac:dyDescent="0.35">
      <c r="A265" s="2">
        <v>10100</v>
      </c>
      <c r="B265" t="str">
        <f>_xlfn.XLOOKUP(A265,'Tabel Referensi'!$A$2:$A$601,'Tabel Referensi'!$B$2:$B$601)</f>
        <v>Joko Pratama</v>
      </c>
      <c r="C265" t="str">
        <f>_xlfn.XLOOKUP(A265,'Tabel Referensi'!$A$2:$A$601,'Tabel Referensi'!$C$2:$C$601)</f>
        <v>08152742054</v>
      </c>
      <c r="D265" t="str">
        <f>_xlfn.XLOOKUP(A265,'Tabel Referensi'!$A$2:$A$601,'Tabel Referensi'!$D$2:$D$601)</f>
        <v>Semarang</v>
      </c>
    </row>
    <row r="266" spans="1:4" x14ac:dyDescent="0.35">
      <c r="A266" s="2">
        <v>10392</v>
      </c>
      <c r="B266" t="str">
        <f>_xlfn.XLOOKUP(A266,'Tabel Referensi'!$A$2:$A$601,'Tabel Referensi'!$B$2:$B$601)</f>
        <v>Sari Nasution</v>
      </c>
      <c r="C266" t="str">
        <f>_xlfn.XLOOKUP(A266,'Tabel Referensi'!$A$2:$A$601,'Tabel Referensi'!$C$2:$C$601)</f>
        <v>088695620175</v>
      </c>
      <c r="D266" t="str">
        <f>_xlfn.XLOOKUP(A266,'Tabel Referensi'!$A$2:$A$601,'Tabel Referensi'!$D$2:$D$601)</f>
        <v>Denpasar</v>
      </c>
    </row>
    <row r="267" spans="1:4" x14ac:dyDescent="0.35">
      <c r="A267" s="2">
        <v>10142</v>
      </c>
      <c r="B267" t="str">
        <f>_xlfn.XLOOKUP(A267,'Tabel Referensi'!$A$2:$A$601,'Tabel Referensi'!$B$2:$B$601)</f>
        <v>Vina Kusuma</v>
      </c>
      <c r="C267" t="str">
        <f>_xlfn.XLOOKUP(A267,'Tabel Referensi'!$A$2:$A$601,'Tabel Referensi'!$C$2:$C$601)</f>
        <v>088710910430</v>
      </c>
      <c r="D267" t="str">
        <f>_xlfn.XLOOKUP(A267,'Tabel Referensi'!$A$2:$A$601,'Tabel Referensi'!$D$2:$D$601)</f>
        <v>Medan</v>
      </c>
    </row>
    <row r="268" spans="1:4" x14ac:dyDescent="0.35">
      <c r="A268" s="2">
        <v>10076</v>
      </c>
      <c r="B268" t="str">
        <f>_xlfn.XLOOKUP(A268,'Tabel Referensi'!$A$2:$A$601,'Tabel Referensi'!$B$2:$B$601)</f>
        <v>Chandra Lestari</v>
      </c>
      <c r="C268" t="str">
        <f>_xlfn.XLOOKUP(A268,'Tabel Referensi'!$A$2:$A$601,'Tabel Referensi'!$C$2:$C$601)</f>
        <v>08971179808</v>
      </c>
      <c r="D268" t="str">
        <f>_xlfn.XLOOKUP(A268,'Tabel Referensi'!$A$2:$A$601,'Tabel Referensi'!$D$2:$D$601)</f>
        <v>Malang</v>
      </c>
    </row>
    <row r="269" spans="1:4" x14ac:dyDescent="0.35">
      <c r="A269" s="2">
        <v>10476</v>
      </c>
      <c r="B269" t="str">
        <f>_xlfn.XLOOKUP(A269,'Tabel Referensi'!$A$2:$A$601,'Tabel Referensi'!$B$2:$B$601)</f>
        <v>Putri Santoso</v>
      </c>
      <c r="C269" t="str">
        <f>_xlfn.XLOOKUP(A269,'Tabel Referensi'!$A$2:$A$601,'Tabel Referensi'!$C$2:$C$601)</f>
        <v>088109226859</v>
      </c>
      <c r="D269" t="str">
        <f>_xlfn.XLOOKUP(A269,'Tabel Referensi'!$A$2:$A$601,'Tabel Referensi'!$D$2:$D$601)</f>
        <v>Bandung</v>
      </c>
    </row>
    <row r="270" spans="1:4" x14ac:dyDescent="0.35">
      <c r="A270" s="2">
        <v>10429</v>
      </c>
      <c r="B270" t="str">
        <f>_xlfn.XLOOKUP(A270,'Tabel Referensi'!$A$2:$A$601,'Tabel Referensi'!$B$2:$B$601)</f>
        <v>Joko Siregar</v>
      </c>
      <c r="C270" t="str">
        <f>_xlfn.XLOOKUP(A270,'Tabel Referensi'!$A$2:$A$601,'Tabel Referensi'!$C$2:$C$601)</f>
        <v/>
      </c>
      <c r="D270" t="str">
        <f>_xlfn.XLOOKUP(A270,'Tabel Referensi'!$A$2:$A$601,'Tabel Referensi'!$D$2:$D$601)</f>
        <v>Malang</v>
      </c>
    </row>
    <row r="271" spans="1:4" x14ac:dyDescent="0.35">
      <c r="A271" s="2">
        <v>10158</v>
      </c>
      <c r="B271" t="str">
        <f>_xlfn.XLOOKUP(A271,'Tabel Referensi'!$A$2:$A$601,'Tabel Referensi'!$B$2:$B$601)</f>
        <v>Budi Nugroho</v>
      </c>
      <c r="C271" t="str">
        <f>_xlfn.XLOOKUP(A271,'Tabel Referensi'!$A$2:$A$601,'Tabel Referensi'!$C$2:$C$601)</f>
        <v>088250029218</v>
      </c>
      <c r="D271" t="str">
        <f>_xlfn.XLOOKUP(A271,'Tabel Referensi'!$A$2:$A$601,'Tabel Referensi'!$D$2:$D$601)</f>
        <v>Bandung</v>
      </c>
    </row>
    <row r="272" spans="1:4" x14ac:dyDescent="0.35">
      <c r="A272" s="2">
        <v>10115</v>
      </c>
      <c r="B272" t="str">
        <f>_xlfn.XLOOKUP(A272,'Tabel Referensi'!$A$2:$A$601,'Tabel Referensi'!$B$2:$B$601)</f>
        <v>Fitri Nasution</v>
      </c>
      <c r="C272" t="str">
        <f>_xlfn.XLOOKUP(A272,'Tabel Referensi'!$A$2:$A$601,'Tabel Referensi'!$C$2:$C$601)</f>
        <v>088408621182</v>
      </c>
      <c r="D272" t="str">
        <f>_xlfn.XLOOKUP(A272,'Tabel Referensi'!$A$2:$A$601,'Tabel Referensi'!$D$2:$D$601)</f>
        <v>Medan</v>
      </c>
    </row>
    <row r="273" spans="1:4" x14ac:dyDescent="0.35">
      <c r="A273" s="2">
        <v>10345</v>
      </c>
      <c r="B273" t="str">
        <f>_xlfn.XLOOKUP(A273,'Tabel Referensi'!$A$2:$A$601,'Tabel Referensi'!$B$2:$B$601)</f>
        <v>Indah Rahayu</v>
      </c>
      <c r="C273" t="str">
        <f>_xlfn.XLOOKUP(A273,'Tabel Referensi'!$A$2:$A$601,'Tabel Referensi'!$C$2:$C$601)</f>
        <v/>
      </c>
      <c r="D273" t="str">
        <f>_xlfn.XLOOKUP(A273,'Tabel Referensi'!$A$2:$A$601,'Tabel Referensi'!$D$2:$D$601)</f>
        <v>Semarang</v>
      </c>
    </row>
    <row r="274" spans="1:4" x14ac:dyDescent="0.35">
      <c r="A274" s="2">
        <v>10431</v>
      </c>
      <c r="B274" t="str">
        <f>_xlfn.XLOOKUP(A274,'Tabel Referensi'!$A$2:$A$601,'Tabel Referensi'!$B$2:$B$601)</f>
        <v>Vina Halim</v>
      </c>
      <c r="C274" t="str">
        <f>_xlfn.XLOOKUP(A274,'Tabel Referensi'!$A$2:$A$601,'Tabel Referensi'!$C$2:$C$601)</f>
        <v>088724399201</v>
      </c>
      <c r="D274" t="str">
        <f>_xlfn.XLOOKUP(A274,'Tabel Referensi'!$A$2:$A$601,'Tabel Referensi'!$D$2:$D$601)</f>
        <v>Makassar</v>
      </c>
    </row>
    <row r="275" spans="1:4" x14ac:dyDescent="0.35">
      <c r="A275" s="2">
        <v>10007</v>
      </c>
      <c r="B275" t="str">
        <f>_xlfn.XLOOKUP(A275,'Tabel Referensi'!$A$2:$A$601,'Tabel Referensi'!$B$2:$B$601)</f>
        <v>Budi Nugroho</v>
      </c>
      <c r="C275" t="str">
        <f>_xlfn.XLOOKUP(A275,'Tabel Referensi'!$A$2:$A$601,'Tabel Referensi'!$C$2:$C$601)</f>
        <v>088896383465</v>
      </c>
      <c r="D275" t="str">
        <f>_xlfn.XLOOKUP(A275,'Tabel Referensi'!$A$2:$A$601,'Tabel Referensi'!$D$2:$D$601)</f>
        <v>Jakarta</v>
      </c>
    </row>
    <row r="276" spans="1:4" x14ac:dyDescent="0.35">
      <c r="A276" s="2">
        <v>10194</v>
      </c>
      <c r="B276" t="str">
        <f>_xlfn.XLOOKUP(A276,'Tabel Referensi'!$A$2:$A$601,'Tabel Referensi'!$B$2:$B$601)</f>
        <v>Fitri Nugroho</v>
      </c>
      <c r="C276" t="str">
        <f>_xlfn.XLOOKUP(A276,'Tabel Referensi'!$A$2:$A$601,'Tabel Referensi'!$C$2:$C$601)</f>
        <v>088858333945</v>
      </c>
      <c r="D276" t="str">
        <f>_xlfn.XLOOKUP(A276,'Tabel Referensi'!$A$2:$A$601,'Tabel Referensi'!$D$2:$D$601)</f>
        <v>Makassar</v>
      </c>
    </row>
    <row r="277" spans="1:4" x14ac:dyDescent="0.35">
      <c r="A277" s="2">
        <v>10356</v>
      </c>
      <c r="B277" t="str">
        <f>_xlfn.XLOOKUP(A277,'Tabel Referensi'!$A$2:$A$601,'Tabel Referensi'!$B$2:$B$601)</f>
        <v>Putri Halim</v>
      </c>
      <c r="C277" t="str">
        <f>_xlfn.XLOOKUP(A277,'Tabel Referensi'!$A$2:$A$601,'Tabel Referensi'!$C$2:$C$601)</f>
        <v>088528092428</v>
      </c>
      <c r="D277" t="str">
        <f>_xlfn.XLOOKUP(A277,'Tabel Referensi'!$A$2:$A$601,'Tabel Referensi'!$D$2:$D$601)</f>
        <v>Malang</v>
      </c>
    </row>
    <row r="278" spans="1:4" x14ac:dyDescent="0.35">
      <c r="A278" s="2">
        <v>10438</v>
      </c>
      <c r="B278" t="str">
        <f>_xlfn.XLOOKUP(A278,'Tabel Referensi'!$A$2:$A$601,'Tabel Referensi'!$B$2:$B$601)</f>
        <v>Bella Kusuma</v>
      </c>
      <c r="C278" t="str">
        <f>_xlfn.XLOOKUP(A278,'Tabel Referensi'!$A$2:$A$601,'Tabel Referensi'!$C$2:$C$601)</f>
        <v>088802714872</v>
      </c>
      <c r="D278" t="str">
        <f>_xlfn.XLOOKUP(A278,'Tabel Referensi'!$A$2:$A$601,'Tabel Referensi'!$D$2:$D$601)</f>
        <v>Makassar</v>
      </c>
    </row>
    <row r="279" spans="1:4" x14ac:dyDescent="0.35">
      <c r="A279" s="2">
        <v>10535</v>
      </c>
      <c r="B279" t="str">
        <f>_xlfn.XLOOKUP(A279,'Tabel Referensi'!$A$2:$A$601,'Tabel Referensi'!$B$2:$B$601)</f>
        <v>Putri Santoso</v>
      </c>
      <c r="C279" t="str">
        <f>_xlfn.XLOOKUP(A279,'Tabel Referensi'!$A$2:$A$601,'Tabel Referensi'!$C$2:$C$601)</f>
        <v>088610023117</v>
      </c>
      <c r="D279" t="str">
        <f>_xlfn.XLOOKUP(A279,'Tabel Referensi'!$A$2:$A$601,'Tabel Referensi'!$D$2:$D$601)</f>
        <v>Denpasar</v>
      </c>
    </row>
    <row r="280" spans="1:4" x14ac:dyDescent="0.35">
      <c r="A280" s="2">
        <v>10268</v>
      </c>
      <c r="B280" t="str">
        <f>_xlfn.XLOOKUP(A280,'Tabel Referensi'!$A$2:$A$601,'Tabel Referensi'!$B$2:$B$601)</f>
        <v>Fajar Wijaya</v>
      </c>
      <c r="C280" t="str">
        <f>_xlfn.XLOOKUP(A280,'Tabel Referensi'!$A$2:$A$601,'Tabel Referensi'!$C$2:$C$601)</f>
        <v>088407778097</v>
      </c>
      <c r="D280" t="str">
        <f>_xlfn.XLOOKUP(A280,'Tabel Referensi'!$A$2:$A$601,'Tabel Referensi'!$D$2:$D$601)</f>
        <v>Semarang</v>
      </c>
    </row>
    <row r="281" spans="1:4" x14ac:dyDescent="0.35">
      <c r="A281" s="2">
        <v>10363</v>
      </c>
      <c r="B281" t="str">
        <f>_xlfn.XLOOKUP(A281,'Tabel Referensi'!$A$2:$A$601,'Tabel Referensi'!$B$2:$B$601)</f>
        <v>Indah Marpaung</v>
      </c>
      <c r="C281" t="str">
        <f>_xlfn.XLOOKUP(A281,'Tabel Referensi'!$A$2:$A$601,'Tabel Referensi'!$C$2:$C$601)</f>
        <v>088732788147</v>
      </c>
      <c r="D281" t="str">
        <f>_xlfn.XLOOKUP(A281,'Tabel Referensi'!$A$2:$A$601,'Tabel Referensi'!$D$2:$D$601)</f>
        <v>Makassar</v>
      </c>
    </row>
    <row r="282" spans="1:4" x14ac:dyDescent="0.35">
      <c r="A282" s="2">
        <v>10248</v>
      </c>
      <c r="B282" t="str">
        <f>_xlfn.XLOOKUP(A282,'Tabel Referensi'!$A$2:$A$601,'Tabel Referensi'!$B$2:$B$601)</f>
        <v>Vina Nasution</v>
      </c>
      <c r="C282" t="str">
        <f>_xlfn.XLOOKUP(A282,'Tabel Referensi'!$A$2:$A$601,'Tabel Referensi'!$C$2:$C$601)</f>
        <v>08014138113</v>
      </c>
      <c r="D282" t="str">
        <f>_xlfn.XLOOKUP(A282,'Tabel Referensi'!$A$2:$A$601,'Tabel Referensi'!$D$2:$D$601)</f>
        <v>Palembang</v>
      </c>
    </row>
    <row r="283" spans="1:4" x14ac:dyDescent="0.35">
      <c r="A283" s="2">
        <v>10193</v>
      </c>
      <c r="B283" t="str">
        <f>_xlfn.XLOOKUP(A283,'Tabel Referensi'!$A$2:$A$601,'Tabel Referensi'!$B$2:$B$601)</f>
        <v>Eka Nasution</v>
      </c>
      <c r="C283" t="str">
        <f>_xlfn.XLOOKUP(A283,'Tabel Referensi'!$A$2:$A$601,'Tabel Referensi'!$C$2:$C$601)</f>
        <v>088221699586</v>
      </c>
      <c r="D283" t="str">
        <f>_xlfn.XLOOKUP(A283,'Tabel Referensi'!$A$2:$A$601,'Tabel Referensi'!$D$2:$D$601)</f>
        <v>Denpasar</v>
      </c>
    </row>
    <row r="284" spans="1:4" x14ac:dyDescent="0.35">
      <c r="A284" s="2">
        <v>10191</v>
      </c>
      <c r="B284" t="str">
        <f>_xlfn.XLOOKUP(A284,'Tabel Referensi'!$A$2:$A$601,'Tabel Referensi'!$B$2:$B$601)</f>
        <v>Kiki Halim</v>
      </c>
      <c r="C284" t="str">
        <f>_xlfn.XLOOKUP(A284,'Tabel Referensi'!$A$2:$A$601,'Tabel Referensi'!$C$2:$C$601)</f>
        <v>088305548851</v>
      </c>
      <c r="D284" t="str">
        <f>_xlfn.XLOOKUP(A284,'Tabel Referensi'!$A$2:$A$601,'Tabel Referensi'!$D$2:$D$601)</f>
        <v>Bandung</v>
      </c>
    </row>
    <row r="285" spans="1:4" x14ac:dyDescent="0.35">
      <c r="A285" s="2">
        <v>10333</v>
      </c>
      <c r="B285" t="str">
        <f>_xlfn.XLOOKUP(A285,'Tabel Referensi'!$A$2:$A$601,'Tabel Referensi'!$B$2:$B$601)</f>
        <v>Fajar Simatupang</v>
      </c>
      <c r="C285" t="str">
        <f>_xlfn.XLOOKUP(A285,'Tabel Referensi'!$A$2:$A$601,'Tabel Referensi'!$C$2:$C$601)</f>
        <v>08517182754</v>
      </c>
      <c r="D285" t="str">
        <f>_xlfn.XLOOKUP(A285,'Tabel Referensi'!$A$2:$A$601,'Tabel Referensi'!$D$2:$D$601)</f>
        <v>Surabaya</v>
      </c>
    </row>
    <row r="286" spans="1:4" x14ac:dyDescent="0.35">
      <c r="A286" s="2">
        <v>10160</v>
      </c>
      <c r="B286" t="str">
        <f>_xlfn.XLOOKUP(A286,'Tabel Referensi'!$A$2:$A$601,'Tabel Referensi'!$B$2:$B$601)</f>
        <v>Zaki Saputra</v>
      </c>
      <c r="C286" t="str">
        <f>_xlfn.XLOOKUP(A286,'Tabel Referensi'!$A$2:$A$601,'Tabel Referensi'!$C$2:$C$601)</f>
        <v>088725135521</v>
      </c>
      <c r="D286" t="str">
        <f>_xlfn.XLOOKUP(A286,'Tabel Referensi'!$A$2:$A$601,'Tabel Referensi'!$D$2:$D$601)</f>
        <v>Makassar</v>
      </c>
    </row>
    <row r="287" spans="1:4" x14ac:dyDescent="0.35">
      <c r="A287" s="2">
        <v>10417</v>
      </c>
      <c r="B287" t="str">
        <f>_xlfn.XLOOKUP(A287,'Tabel Referensi'!$A$2:$A$601,'Tabel Referensi'!$B$2:$B$601)</f>
        <v>Made Wijaya</v>
      </c>
      <c r="C287" t="str">
        <f>_xlfn.XLOOKUP(A287,'Tabel Referensi'!$A$2:$A$601,'Tabel Referensi'!$C$2:$C$601)</f>
        <v>088511856724</v>
      </c>
      <c r="D287" t="str">
        <f>_xlfn.XLOOKUP(A287,'Tabel Referensi'!$A$2:$A$601,'Tabel Referensi'!$D$2:$D$601)</f>
        <v>Surabaya</v>
      </c>
    </row>
    <row r="288" spans="1:4" x14ac:dyDescent="0.35">
      <c r="A288" s="2">
        <v>10318</v>
      </c>
      <c r="B288" t="str">
        <f>_xlfn.XLOOKUP(A288,'Tabel Referensi'!$A$2:$A$601,'Tabel Referensi'!$B$2:$B$601)</f>
        <v>Tono Gunawan</v>
      </c>
      <c r="C288" t="str">
        <f>_xlfn.XLOOKUP(A288,'Tabel Referensi'!$A$2:$A$601,'Tabel Referensi'!$C$2:$C$601)</f>
        <v>088424375402</v>
      </c>
      <c r="D288" t="str">
        <f>_xlfn.XLOOKUP(A288,'Tabel Referensi'!$A$2:$A$601,'Tabel Referensi'!$D$2:$D$601)</f>
        <v>Palembang</v>
      </c>
    </row>
    <row r="289" spans="1:4" x14ac:dyDescent="0.35">
      <c r="A289" s="2">
        <v>10176</v>
      </c>
      <c r="B289" t="str">
        <f>_xlfn.XLOOKUP(A289,'Tabel Referensi'!$A$2:$A$601,'Tabel Referensi'!$B$2:$B$601)</f>
        <v>Yani Hidayat</v>
      </c>
      <c r="C289" t="str">
        <f>_xlfn.XLOOKUP(A289,'Tabel Referensi'!$A$2:$A$601,'Tabel Referensi'!$C$2:$C$601)</f>
        <v>088172482513</v>
      </c>
      <c r="D289" t="str">
        <f>_xlfn.XLOOKUP(A289,'Tabel Referensi'!$A$2:$A$601,'Tabel Referensi'!$D$2:$D$601)</f>
        <v>Bandung</v>
      </c>
    </row>
    <row r="290" spans="1:4" x14ac:dyDescent="0.35">
      <c r="A290" s="2">
        <v>10087</v>
      </c>
      <c r="B290" t="str">
        <f>_xlfn.XLOOKUP(A290,'Tabel Referensi'!$A$2:$A$601,'Tabel Referensi'!$B$2:$B$601)</f>
        <v>Umi Kusuma</v>
      </c>
      <c r="C290" t="str">
        <f>_xlfn.XLOOKUP(A290,'Tabel Referensi'!$A$2:$A$601,'Tabel Referensi'!$C$2:$C$601)</f>
        <v>088900109439</v>
      </c>
      <c r="D290" t="str">
        <f>_xlfn.XLOOKUP(A290,'Tabel Referensi'!$A$2:$A$601,'Tabel Referensi'!$D$2:$D$601)</f>
        <v>Surabaya</v>
      </c>
    </row>
    <row r="291" spans="1:4" x14ac:dyDescent="0.35">
      <c r="A291" s="2">
        <v>10244</v>
      </c>
      <c r="B291" t="str">
        <f>_xlfn.XLOOKUP(A291,'Tabel Referensi'!$A$2:$A$601,'Tabel Referensi'!$B$2:$B$601)</f>
        <v>Yani Siregar</v>
      </c>
      <c r="C291" t="str">
        <f>_xlfn.XLOOKUP(A291,'Tabel Referensi'!$A$2:$A$601,'Tabel Referensi'!$C$2:$C$601)</f>
        <v>088285574982</v>
      </c>
      <c r="D291" t="str">
        <f>_xlfn.XLOOKUP(A291,'Tabel Referensi'!$A$2:$A$601,'Tabel Referensi'!$D$2:$D$601)</f>
        <v>Surabaya</v>
      </c>
    </row>
    <row r="292" spans="1:4" x14ac:dyDescent="0.35">
      <c r="A292" s="2">
        <v>10207</v>
      </c>
      <c r="B292" t="str">
        <f>_xlfn.XLOOKUP(A292,'Tabel Referensi'!$A$2:$A$601,'Tabel Referensi'!$B$2:$B$601)</f>
        <v>Tono Halim</v>
      </c>
      <c r="C292" t="str">
        <f>_xlfn.XLOOKUP(A292,'Tabel Referensi'!$A$2:$A$601,'Tabel Referensi'!$C$2:$C$601)</f>
        <v>088257775478</v>
      </c>
      <c r="D292" t="str">
        <f>_xlfn.XLOOKUP(A292,'Tabel Referensi'!$A$2:$A$601,'Tabel Referensi'!$D$2:$D$601)</f>
        <v>Makassar</v>
      </c>
    </row>
    <row r="293" spans="1:4" x14ac:dyDescent="0.35">
      <c r="A293" s="2">
        <v>10264</v>
      </c>
      <c r="B293" t="str">
        <f>_xlfn.XLOOKUP(A293,'Tabel Referensi'!$A$2:$A$601,'Tabel Referensi'!$B$2:$B$601)</f>
        <v>Fajar Simatupang</v>
      </c>
      <c r="C293" t="str">
        <f>_xlfn.XLOOKUP(A293,'Tabel Referensi'!$A$2:$A$601,'Tabel Referensi'!$C$2:$C$601)</f>
        <v>08656999880</v>
      </c>
      <c r="D293" t="str">
        <f>_xlfn.XLOOKUP(A293,'Tabel Referensi'!$A$2:$A$601,'Tabel Referensi'!$D$2:$D$601)</f>
        <v>Palembang</v>
      </c>
    </row>
    <row r="294" spans="1:4" x14ac:dyDescent="0.35">
      <c r="A294" s="2">
        <v>10260</v>
      </c>
      <c r="B294" t="str">
        <f>_xlfn.XLOOKUP(A294,'Tabel Referensi'!$A$2:$A$601,'Tabel Referensi'!$B$2:$B$601)</f>
        <v>Vina Setiawan</v>
      </c>
      <c r="C294" t="str">
        <f>_xlfn.XLOOKUP(A294,'Tabel Referensi'!$A$2:$A$601,'Tabel Referensi'!$C$2:$C$601)</f>
        <v>08893639264</v>
      </c>
      <c r="D294" t="str">
        <f>_xlfn.XLOOKUP(A294,'Tabel Referensi'!$A$2:$A$601,'Tabel Referensi'!$D$2:$D$601)</f>
        <v>Medan</v>
      </c>
    </row>
    <row r="295" spans="1:4" x14ac:dyDescent="0.35">
      <c r="A295" s="2">
        <v>10377</v>
      </c>
      <c r="B295" t="str">
        <f>_xlfn.XLOOKUP(A295,'Tabel Referensi'!$A$2:$A$601,'Tabel Referensi'!$B$2:$B$601)</f>
        <v>Budi Gunawan</v>
      </c>
      <c r="C295" t="str">
        <f>_xlfn.XLOOKUP(A295,'Tabel Referensi'!$A$2:$A$601,'Tabel Referensi'!$C$2:$C$601)</f>
        <v>08200894346</v>
      </c>
      <c r="D295" t="str">
        <f>_xlfn.XLOOKUP(A295,'Tabel Referensi'!$A$2:$A$601,'Tabel Referensi'!$D$2:$D$601)</f>
        <v>Surabaya</v>
      </c>
    </row>
    <row r="296" spans="1:4" x14ac:dyDescent="0.35">
      <c r="A296" s="2">
        <v>10340</v>
      </c>
      <c r="B296" t="str">
        <f>_xlfn.XLOOKUP(A296,'Tabel Referensi'!$A$2:$A$601,'Tabel Referensi'!$B$2:$B$601)</f>
        <v>Andi Gunawan</v>
      </c>
      <c r="C296" t="str">
        <f>_xlfn.XLOOKUP(A296,'Tabel Referensi'!$A$2:$A$601,'Tabel Referensi'!$C$2:$C$601)</f>
        <v>08491141520</v>
      </c>
      <c r="D296" t="str">
        <f>_xlfn.XLOOKUP(A296,'Tabel Referensi'!$A$2:$A$601,'Tabel Referensi'!$D$2:$D$601)</f>
        <v>Jakarta</v>
      </c>
    </row>
    <row r="297" spans="1:4" x14ac:dyDescent="0.35">
      <c r="A297" s="2">
        <v>10006</v>
      </c>
      <c r="B297" t="str">
        <f>_xlfn.XLOOKUP(A297,'Tabel Referensi'!$A$2:$A$601,'Tabel Referensi'!$B$2:$B$601)</f>
        <v>Zaki Setiawan</v>
      </c>
      <c r="C297" t="str">
        <f>_xlfn.XLOOKUP(A297,'Tabel Referensi'!$A$2:$A$601,'Tabel Referensi'!$C$2:$C$601)</f>
        <v>088880957015</v>
      </c>
      <c r="D297" t="str">
        <f>_xlfn.XLOOKUP(A297,'Tabel Referensi'!$A$2:$A$601,'Tabel Referensi'!$D$2:$D$601)</f>
        <v>Surabaya</v>
      </c>
    </row>
    <row r="298" spans="1:4" x14ac:dyDescent="0.35">
      <c r="A298" s="2">
        <v>10299</v>
      </c>
      <c r="B298" t="str">
        <f>_xlfn.XLOOKUP(A298,'Tabel Referensi'!$A$2:$A$601,'Tabel Referensi'!$B$2:$B$601)</f>
        <v>Umi Siregar</v>
      </c>
      <c r="C298" t="str">
        <f>_xlfn.XLOOKUP(A298,'Tabel Referensi'!$A$2:$A$601,'Tabel Referensi'!$C$2:$C$601)</f>
        <v>088101194707</v>
      </c>
      <c r="D298" t="str">
        <f>_xlfn.XLOOKUP(A298,'Tabel Referensi'!$A$2:$A$601,'Tabel Referensi'!$D$2:$D$601)</f>
        <v>Palembang</v>
      </c>
    </row>
    <row r="299" spans="1:4" x14ac:dyDescent="0.35">
      <c r="A299" s="2">
        <v>10477</v>
      </c>
      <c r="B299" t="str">
        <f>_xlfn.XLOOKUP(A299,'Tabel Referensi'!$A$2:$A$601,'Tabel Referensi'!$B$2:$B$601)</f>
        <v>Eka Rahayu</v>
      </c>
      <c r="C299" t="str">
        <f>_xlfn.XLOOKUP(A299,'Tabel Referensi'!$A$2:$A$601,'Tabel Referensi'!$C$2:$C$601)</f>
        <v>08225267711</v>
      </c>
      <c r="D299" t="str">
        <f>_xlfn.XLOOKUP(A299,'Tabel Referensi'!$A$2:$A$601,'Tabel Referensi'!$D$2:$D$601)</f>
        <v>Semarang</v>
      </c>
    </row>
    <row r="300" spans="1:4" x14ac:dyDescent="0.35">
      <c r="A300" s="2">
        <v>10567</v>
      </c>
      <c r="B300" t="str">
        <f>_xlfn.XLOOKUP(A300,'Tabel Referensi'!$A$2:$A$601,'Tabel Referensi'!$B$2:$B$601)</f>
        <v>Dewi Rahayu</v>
      </c>
      <c r="C300" t="str">
        <f>_xlfn.XLOOKUP(A300,'Tabel Referensi'!$A$2:$A$601,'Tabel Referensi'!$C$2:$C$601)</f>
        <v>088627796304</v>
      </c>
      <c r="D300" t="str">
        <f>_xlfn.XLOOKUP(A300,'Tabel Referensi'!$A$2:$A$601,'Tabel Referensi'!$D$2:$D$601)</f>
        <v>Palembang</v>
      </c>
    </row>
    <row r="301" spans="1:4" x14ac:dyDescent="0.35">
      <c r="A301" s="2">
        <v>10549</v>
      </c>
      <c r="B301" t="str">
        <f>_xlfn.XLOOKUP(A301,'Tabel Referensi'!$A$2:$A$601,'Tabel Referensi'!$B$2:$B$601)</f>
        <v>Bella Wijaya</v>
      </c>
      <c r="C301" t="str">
        <f>_xlfn.XLOOKUP(A301,'Tabel Referensi'!$A$2:$A$601,'Tabel Referensi'!$C$2:$C$601)</f>
        <v>08673204413</v>
      </c>
      <c r="D301" t="str">
        <f>_xlfn.XLOOKUP(A301,'Tabel Referensi'!$A$2:$A$601,'Tabel Referensi'!$D$2:$D$601)</f>
        <v>Denpasar</v>
      </c>
    </row>
    <row r="302" spans="1:4" x14ac:dyDescent="0.35">
      <c r="A302" s="2">
        <v>10515</v>
      </c>
      <c r="B302" t="str">
        <f>_xlfn.XLOOKUP(A302,'Tabel Referensi'!$A$2:$A$601,'Tabel Referensi'!$B$2:$B$601)</f>
        <v>Wawan Hidayat</v>
      </c>
      <c r="C302" t="str">
        <f>_xlfn.XLOOKUP(A302,'Tabel Referensi'!$A$2:$A$601,'Tabel Referensi'!$C$2:$C$601)</f>
        <v>088472812356</v>
      </c>
      <c r="D302" t="str">
        <f>_xlfn.XLOOKUP(A302,'Tabel Referensi'!$A$2:$A$601,'Tabel Referensi'!$D$2:$D$601)</f>
        <v>Makassar</v>
      </c>
    </row>
    <row r="303" spans="1:4" x14ac:dyDescent="0.35">
      <c r="A303" s="2">
        <v>10546</v>
      </c>
      <c r="B303" t="str">
        <f>_xlfn.XLOOKUP(A303,'Tabel Referensi'!$A$2:$A$601,'Tabel Referensi'!$B$2:$B$601)</f>
        <v>Erik Setiawan</v>
      </c>
      <c r="C303" t="str">
        <f>_xlfn.XLOOKUP(A303,'Tabel Referensi'!$A$2:$A$601,'Tabel Referensi'!$C$2:$C$601)</f>
        <v>088328348315</v>
      </c>
      <c r="D303" t="str">
        <f>_xlfn.XLOOKUP(A303,'Tabel Referensi'!$A$2:$A$601,'Tabel Referensi'!$D$2:$D$601)</f>
        <v>Denpasar</v>
      </c>
    </row>
    <row r="304" spans="1:4" x14ac:dyDescent="0.35">
      <c r="A304" s="2">
        <v>10116</v>
      </c>
      <c r="B304" t="str">
        <f>_xlfn.XLOOKUP(A304,'Tabel Referensi'!$A$2:$A$601,'Tabel Referensi'!$B$2:$B$601)</f>
        <v>Umi Setiawan</v>
      </c>
      <c r="C304" t="str">
        <f>_xlfn.XLOOKUP(A304,'Tabel Referensi'!$A$2:$A$601,'Tabel Referensi'!$C$2:$C$601)</f>
        <v>088101666870</v>
      </c>
      <c r="D304" t="str">
        <f>_xlfn.XLOOKUP(A304,'Tabel Referensi'!$A$2:$A$601,'Tabel Referensi'!$D$2:$D$601)</f>
        <v>Semarang</v>
      </c>
    </row>
    <row r="305" spans="1:4" x14ac:dyDescent="0.35">
      <c r="A305" s="2">
        <v>10131</v>
      </c>
      <c r="B305" t="str">
        <f>_xlfn.XLOOKUP(A305,'Tabel Referensi'!$A$2:$A$601,'Tabel Referensi'!$B$2:$B$601)</f>
        <v>Made Marpaung</v>
      </c>
      <c r="C305" t="str">
        <f>_xlfn.XLOOKUP(A305,'Tabel Referensi'!$A$2:$A$601,'Tabel Referensi'!$C$2:$C$601)</f>
        <v>08790507236</v>
      </c>
      <c r="D305" t="str">
        <f>_xlfn.XLOOKUP(A305,'Tabel Referensi'!$A$2:$A$601,'Tabel Referensi'!$D$2:$D$601)</f>
        <v>Palembang</v>
      </c>
    </row>
    <row r="306" spans="1:4" x14ac:dyDescent="0.35">
      <c r="A306" s="2">
        <v>10486</v>
      </c>
      <c r="B306" t="str">
        <f>_xlfn.XLOOKUP(A306,'Tabel Referensi'!$A$2:$A$601,'Tabel Referensi'!$B$2:$B$601)</f>
        <v>Tono Siregar</v>
      </c>
      <c r="C306" t="str">
        <f>_xlfn.XLOOKUP(A306,'Tabel Referensi'!$A$2:$A$601,'Tabel Referensi'!$C$2:$C$601)</f>
        <v>088332288985</v>
      </c>
      <c r="D306" t="str">
        <f>_xlfn.XLOOKUP(A306,'Tabel Referensi'!$A$2:$A$601,'Tabel Referensi'!$D$2:$D$601)</f>
        <v>Malang</v>
      </c>
    </row>
    <row r="307" spans="1:4" x14ac:dyDescent="0.35">
      <c r="A307" s="2">
        <v>10326</v>
      </c>
      <c r="B307" t="str">
        <f>_xlfn.XLOOKUP(A307,'Tabel Referensi'!$A$2:$A$601,'Tabel Referensi'!$B$2:$B$601)</f>
        <v>Citra Halim</v>
      </c>
      <c r="C307" t="str">
        <f>_xlfn.XLOOKUP(A307,'Tabel Referensi'!$A$2:$A$601,'Tabel Referensi'!$C$2:$C$601)</f>
        <v/>
      </c>
      <c r="D307" t="str">
        <f>_xlfn.XLOOKUP(A307,'Tabel Referensi'!$A$2:$A$601,'Tabel Referensi'!$D$2:$D$601)</f>
        <v>Palembang</v>
      </c>
    </row>
    <row r="308" spans="1:4" x14ac:dyDescent="0.35">
      <c r="A308" s="2">
        <v>10550</v>
      </c>
      <c r="B308" t="str">
        <f>_xlfn.XLOOKUP(A308,'Tabel Referensi'!$A$2:$A$601,'Tabel Referensi'!$B$2:$B$601)</f>
        <v>Kiki Siregar</v>
      </c>
      <c r="C308" t="str">
        <f>_xlfn.XLOOKUP(A308,'Tabel Referensi'!$A$2:$A$601,'Tabel Referensi'!$C$2:$C$601)</f>
        <v>088542770707</v>
      </c>
      <c r="D308" t="str">
        <f>_xlfn.XLOOKUP(A308,'Tabel Referensi'!$A$2:$A$601,'Tabel Referensi'!$D$2:$D$601)</f>
        <v>Malang</v>
      </c>
    </row>
    <row r="309" spans="1:4" x14ac:dyDescent="0.35">
      <c r="A309" s="2">
        <v>10450</v>
      </c>
      <c r="B309" t="str">
        <f>_xlfn.XLOOKUP(A309,'Tabel Referensi'!$A$2:$A$601,'Tabel Referensi'!$B$2:$B$601)</f>
        <v>Budi Hidayat</v>
      </c>
      <c r="C309" t="str">
        <f>_xlfn.XLOOKUP(A309,'Tabel Referensi'!$A$2:$A$601,'Tabel Referensi'!$C$2:$C$601)</f>
        <v>088961844626</v>
      </c>
      <c r="D309" t="str">
        <f>_xlfn.XLOOKUP(A309,'Tabel Referensi'!$A$2:$A$601,'Tabel Referensi'!$D$2:$D$601)</f>
        <v>Semarang</v>
      </c>
    </row>
    <row r="310" spans="1:4" x14ac:dyDescent="0.35">
      <c r="A310" s="2">
        <v>10036</v>
      </c>
      <c r="B310" t="str">
        <f>_xlfn.XLOOKUP(A310,'Tabel Referensi'!$A$2:$A$601,'Tabel Referensi'!$B$2:$B$601)</f>
        <v>Umi Nugroho</v>
      </c>
      <c r="C310" t="str">
        <f>_xlfn.XLOOKUP(A310,'Tabel Referensi'!$A$2:$A$601,'Tabel Referensi'!$C$2:$C$601)</f>
        <v/>
      </c>
      <c r="D310" t="str">
        <f>_xlfn.XLOOKUP(A310,'Tabel Referensi'!$A$2:$A$601,'Tabel Referensi'!$D$2:$D$601)</f>
        <v>Makassar</v>
      </c>
    </row>
    <row r="311" spans="1:4" x14ac:dyDescent="0.35">
      <c r="A311" s="2">
        <v>10079</v>
      </c>
      <c r="B311" t="str">
        <f>_xlfn.XLOOKUP(A311,'Tabel Referensi'!$A$2:$A$601,'Tabel Referensi'!$B$2:$B$601)</f>
        <v>Citra Simatupang</v>
      </c>
      <c r="C311" t="str">
        <f>_xlfn.XLOOKUP(A311,'Tabel Referensi'!$A$2:$A$601,'Tabel Referensi'!$C$2:$C$601)</f>
        <v>088874034505</v>
      </c>
      <c r="D311" t="str">
        <f>_xlfn.XLOOKUP(A311,'Tabel Referensi'!$A$2:$A$601,'Tabel Referensi'!$D$2:$D$601)</f>
        <v>Semarang</v>
      </c>
    </row>
    <row r="312" spans="1:4" x14ac:dyDescent="0.35">
      <c r="A312" s="2">
        <v>10379</v>
      </c>
      <c r="B312" t="str">
        <f>_xlfn.XLOOKUP(A312,'Tabel Referensi'!$A$2:$A$601,'Tabel Referensi'!$B$2:$B$601)</f>
        <v>Joko Lestari</v>
      </c>
      <c r="C312" t="str">
        <f>_xlfn.XLOOKUP(A312,'Tabel Referensi'!$A$2:$A$601,'Tabel Referensi'!$C$2:$C$601)</f>
        <v>088266110627</v>
      </c>
      <c r="D312" t="str">
        <f>_xlfn.XLOOKUP(A312,'Tabel Referensi'!$A$2:$A$601,'Tabel Referensi'!$D$2:$D$601)</f>
        <v>Denpasar</v>
      </c>
    </row>
    <row r="313" spans="1:4" x14ac:dyDescent="0.35">
      <c r="A313" s="2">
        <v>10243</v>
      </c>
      <c r="B313" t="str">
        <f>_xlfn.XLOOKUP(A313,'Tabel Referensi'!$A$2:$A$601,'Tabel Referensi'!$B$2:$B$601)</f>
        <v>Lina Kusuma</v>
      </c>
      <c r="C313" t="str">
        <f>_xlfn.XLOOKUP(A313,'Tabel Referensi'!$A$2:$A$601,'Tabel Referensi'!$C$2:$C$601)</f>
        <v>088812735857</v>
      </c>
      <c r="D313" t="str">
        <f>_xlfn.XLOOKUP(A313,'Tabel Referensi'!$A$2:$A$601,'Tabel Referensi'!$D$2:$D$601)</f>
        <v>Surabaya</v>
      </c>
    </row>
    <row r="314" spans="1:4" x14ac:dyDescent="0.35">
      <c r="A314" s="2">
        <v>10156</v>
      </c>
      <c r="B314" t="str">
        <f>_xlfn.XLOOKUP(A314,'Tabel Referensi'!$A$2:$A$601,'Tabel Referensi'!$B$2:$B$601)</f>
        <v>Made Setiawan</v>
      </c>
      <c r="C314" t="str">
        <f>_xlfn.XLOOKUP(A314,'Tabel Referensi'!$A$2:$A$601,'Tabel Referensi'!$C$2:$C$601)</f>
        <v>088932133480</v>
      </c>
      <c r="D314" t="str">
        <f>_xlfn.XLOOKUP(A314,'Tabel Referensi'!$A$2:$A$601,'Tabel Referensi'!$D$2:$D$601)</f>
        <v>Medan</v>
      </c>
    </row>
    <row r="315" spans="1:4" x14ac:dyDescent="0.35">
      <c r="A315" s="2">
        <v>10339</v>
      </c>
      <c r="B315" t="str">
        <f>_xlfn.XLOOKUP(A315,'Tabel Referensi'!$A$2:$A$601,'Tabel Referensi'!$B$2:$B$601)</f>
        <v>Wawan Nasution</v>
      </c>
      <c r="C315" t="str">
        <f>_xlfn.XLOOKUP(A315,'Tabel Referensi'!$A$2:$A$601,'Tabel Referensi'!$C$2:$C$601)</f>
        <v>088545009025</v>
      </c>
      <c r="D315" t="str">
        <f>_xlfn.XLOOKUP(A315,'Tabel Referensi'!$A$2:$A$601,'Tabel Referensi'!$D$2:$D$601)</f>
        <v>Denpasar</v>
      </c>
    </row>
    <row r="316" spans="1:4" x14ac:dyDescent="0.35">
      <c r="A316" s="2">
        <v>10414</v>
      </c>
      <c r="B316" t="str">
        <f>_xlfn.XLOOKUP(A316,'Tabel Referensi'!$A$2:$A$601,'Tabel Referensi'!$B$2:$B$601)</f>
        <v>Gita Kusuma</v>
      </c>
      <c r="C316" t="str">
        <f>_xlfn.XLOOKUP(A316,'Tabel Referensi'!$A$2:$A$601,'Tabel Referensi'!$C$2:$C$601)</f>
        <v>088256621286</v>
      </c>
      <c r="D316" t="str">
        <f>_xlfn.XLOOKUP(A316,'Tabel Referensi'!$A$2:$A$601,'Tabel Referensi'!$D$2:$D$601)</f>
        <v>Semarang</v>
      </c>
    </row>
    <row r="317" spans="1:4" x14ac:dyDescent="0.35">
      <c r="A317" s="2">
        <v>10157</v>
      </c>
      <c r="B317" t="str">
        <f>_xlfn.XLOOKUP(A317,'Tabel Referensi'!$A$2:$A$601,'Tabel Referensi'!$B$2:$B$601)</f>
        <v>Dian Siregar</v>
      </c>
      <c r="C317" t="str">
        <f>_xlfn.XLOOKUP(A317,'Tabel Referensi'!$A$2:$A$601,'Tabel Referensi'!$C$2:$C$601)</f>
        <v>088929378427</v>
      </c>
      <c r="D317" t="str">
        <f>_xlfn.XLOOKUP(A317,'Tabel Referensi'!$A$2:$A$601,'Tabel Referensi'!$D$2:$D$601)</f>
        <v>Surabaya</v>
      </c>
    </row>
    <row r="318" spans="1:4" x14ac:dyDescent="0.35">
      <c r="A318" s="2">
        <v>10427</v>
      </c>
      <c r="B318" t="str">
        <f>_xlfn.XLOOKUP(A318,'Tabel Referensi'!$A$2:$A$601,'Tabel Referensi'!$B$2:$B$601)</f>
        <v>Hadi Kusuma</v>
      </c>
      <c r="C318" t="str">
        <f>_xlfn.XLOOKUP(A318,'Tabel Referensi'!$A$2:$A$601,'Tabel Referensi'!$C$2:$C$601)</f>
        <v>088973471566</v>
      </c>
      <c r="D318" t="str">
        <f>_xlfn.XLOOKUP(A318,'Tabel Referensi'!$A$2:$A$601,'Tabel Referensi'!$D$2:$D$601)</f>
        <v>Palembang</v>
      </c>
    </row>
    <row r="319" spans="1:4" x14ac:dyDescent="0.35">
      <c r="A319" s="2">
        <v>10288</v>
      </c>
      <c r="B319" t="str">
        <f>_xlfn.XLOOKUP(A319,'Tabel Referensi'!$A$2:$A$601,'Tabel Referensi'!$B$2:$B$601)</f>
        <v>Hadi Santoso</v>
      </c>
      <c r="C319" t="str">
        <f>_xlfn.XLOOKUP(A319,'Tabel Referensi'!$A$2:$A$601,'Tabel Referensi'!$C$2:$C$601)</f>
        <v>088009751971</v>
      </c>
      <c r="D319" t="str">
        <f>_xlfn.XLOOKUP(A319,'Tabel Referensi'!$A$2:$A$601,'Tabel Referensi'!$D$2:$D$601)</f>
        <v>Malang</v>
      </c>
    </row>
    <row r="320" spans="1:4" x14ac:dyDescent="0.35">
      <c r="A320" s="2">
        <v>10456</v>
      </c>
      <c r="B320" t="str">
        <f>_xlfn.XLOOKUP(A320,'Tabel Referensi'!$A$2:$A$601,'Tabel Referensi'!$B$2:$B$601)</f>
        <v>Nita Lestari</v>
      </c>
      <c r="C320" t="str">
        <f>_xlfn.XLOOKUP(A320,'Tabel Referensi'!$A$2:$A$601,'Tabel Referensi'!$C$2:$C$601)</f>
        <v>08853890972</v>
      </c>
      <c r="D320" t="str">
        <f>_xlfn.XLOOKUP(A320,'Tabel Referensi'!$A$2:$A$601,'Tabel Referensi'!$D$2:$D$601)</f>
        <v>Palembang</v>
      </c>
    </row>
    <row r="321" spans="1:4" x14ac:dyDescent="0.35">
      <c r="A321" s="2">
        <v>10527</v>
      </c>
      <c r="B321" t="str">
        <f>_xlfn.XLOOKUP(A321,'Tabel Referensi'!$A$2:$A$601,'Tabel Referensi'!$B$2:$B$601)</f>
        <v>Joko Santoso</v>
      </c>
      <c r="C321" t="str">
        <f>_xlfn.XLOOKUP(A321,'Tabel Referensi'!$A$2:$A$601,'Tabel Referensi'!$C$2:$C$601)</f>
        <v>088344149782</v>
      </c>
      <c r="D321" t="str">
        <f>_xlfn.XLOOKUP(A321,'Tabel Referensi'!$A$2:$A$601,'Tabel Referensi'!$D$2:$D$601)</f>
        <v>Makassar</v>
      </c>
    </row>
    <row r="322" spans="1:4" x14ac:dyDescent="0.35">
      <c r="A322" s="2">
        <v>10013</v>
      </c>
      <c r="B322" t="str">
        <f>_xlfn.XLOOKUP(A322,'Tabel Referensi'!$A$2:$A$601,'Tabel Referensi'!$B$2:$B$601)</f>
        <v>Budi Kusuma</v>
      </c>
      <c r="C322" t="str">
        <f>_xlfn.XLOOKUP(A322,'Tabel Referensi'!$A$2:$A$601,'Tabel Referensi'!$C$2:$C$601)</f>
        <v>088247510799</v>
      </c>
      <c r="D322" t="str">
        <f>_xlfn.XLOOKUP(A322,'Tabel Referensi'!$A$2:$A$601,'Tabel Referensi'!$D$2:$D$601)</f>
        <v>Malang</v>
      </c>
    </row>
    <row r="323" spans="1:4" x14ac:dyDescent="0.35">
      <c r="A323" s="2">
        <v>10556</v>
      </c>
      <c r="B323" t="str">
        <f>_xlfn.XLOOKUP(A323,'Tabel Referensi'!$A$2:$A$601,'Tabel Referensi'!$B$2:$B$601)</f>
        <v>Yani Nugroho</v>
      </c>
      <c r="C323" t="str">
        <f>_xlfn.XLOOKUP(A323,'Tabel Referensi'!$A$2:$A$601,'Tabel Referensi'!$C$2:$C$601)</f>
        <v>088763928369</v>
      </c>
      <c r="D323" t="str">
        <f>_xlfn.XLOOKUP(A323,'Tabel Referensi'!$A$2:$A$601,'Tabel Referensi'!$D$2:$D$601)</f>
        <v>Makassar</v>
      </c>
    </row>
    <row r="324" spans="1:4" x14ac:dyDescent="0.35">
      <c r="A324" s="2">
        <v>10049</v>
      </c>
      <c r="B324" t="str">
        <f>_xlfn.XLOOKUP(A324,'Tabel Referensi'!$A$2:$A$601,'Tabel Referensi'!$B$2:$B$601)</f>
        <v>Yani Setiawan</v>
      </c>
      <c r="C324" t="str">
        <f>_xlfn.XLOOKUP(A324,'Tabel Referensi'!$A$2:$A$601,'Tabel Referensi'!$C$2:$C$601)</f>
        <v>088406409097</v>
      </c>
      <c r="D324" t="str">
        <f>_xlfn.XLOOKUP(A324,'Tabel Referensi'!$A$2:$A$601,'Tabel Referensi'!$D$2:$D$601)</f>
        <v>Semarang</v>
      </c>
    </row>
    <row r="325" spans="1:4" x14ac:dyDescent="0.35">
      <c r="A325" s="2">
        <v>10075</v>
      </c>
      <c r="B325" t="str">
        <f>_xlfn.XLOOKUP(A325,'Tabel Referensi'!$A$2:$A$601,'Tabel Referensi'!$B$2:$B$601)</f>
        <v>Lina Nugroho</v>
      </c>
      <c r="C325" t="str">
        <f>_xlfn.XLOOKUP(A325,'Tabel Referensi'!$A$2:$A$601,'Tabel Referensi'!$C$2:$C$601)</f>
        <v>088472779010</v>
      </c>
      <c r="D325" t="str">
        <f>_xlfn.XLOOKUP(A325,'Tabel Referensi'!$A$2:$A$601,'Tabel Referensi'!$D$2:$D$601)</f>
        <v>Jakarta</v>
      </c>
    </row>
    <row r="326" spans="1:4" x14ac:dyDescent="0.35">
      <c r="A326" s="2">
        <v>10071</v>
      </c>
      <c r="B326" t="str">
        <f>_xlfn.XLOOKUP(A326,'Tabel Referensi'!$A$2:$A$601,'Tabel Referensi'!$B$2:$B$601)</f>
        <v>Vina Marpaung</v>
      </c>
      <c r="C326" t="str">
        <f>_xlfn.XLOOKUP(A326,'Tabel Referensi'!$A$2:$A$601,'Tabel Referensi'!$C$2:$C$601)</f>
        <v>088221418880</v>
      </c>
      <c r="D326" t="str">
        <f>_xlfn.XLOOKUP(A326,'Tabel Referensi'!$A$2:$A$601,'Tabel Referensi'!$D$2:$D$601)</f>
        <v>Yogyakarta</v>
      </c>
    </row>
    <row r="327" spans="1:4" x14ac:dyDescent="0.35">
      <c r="A327" s="2">
        <v>10585</v>
      </c>
      <c r="B327" t="str">
        <f>_xlfn.XLOOKUP(A327,'Tabel Referensi'!$A$2:$A$601,'Tabel Referensi'!$B$2:$B$601)</f>
        <v>Tono Rahayu</v>
      </c>
      <c r="C327" t="str">
        <f>_xlfn.XLOOKUP(A327,'Tabel Referensi'!$A$2:$A$601,'Tabel Referensi'!$C$2:$C$601)</f>
        <v>088604409079</v>
      </c>
      <c r="D327" t="str">
        <f>_xlfn.XLOOKUP(A327,'Tabel Referensi'!$A$2:$A$601,'Tabel Referensi'!$D$2:$D$601)</f>
        <v>Jakarta</v>
      </c>
    </row>
    <row r="328" spans="1:4" x14ac:dyDescent="0.35">
      <c r="A328" s="2">
        <v>10140</v>
      </c>
      <c r="B328" t="str">
        <f>_xlfn.XLOOKUP(A328,'Tabel Referensi'!$A$2:$A$601,'Tabel Referensi'!$B$2:$B$601)</f>
        <v>Tono Saputra</v>
      </c>
      <c r="C328" t="str">
        <f>_xlfn.XLOOKUP(A328,'Tabel Referensi'!$A$2:$A$601,'Tabel Referensi'!$C$2:$C$601)</f>
        <v>088121965652</v>
      </c>
      <c r="D328" t="str">
        <f>_xlfn.XLOOKUP(A328,'Tabel Referensi'!$A$2:$A$601,'Tabel Referensi'!$D$2:$D$601)</f>
        <v>Surabaya</v>
      </c>
    </row>
    <row r="329" spans="1:4" x14ac:dyDescent="0.35">
      <c r="A329" s="2">
        <v>10538</v>
      </c>
      <c r="B329" t="str">
        <f>_xlfn.XLOOKUP(A329,'Tabel Referensi'!$A$2:$A$601,'Tabel Referensi'!$B$2:$B$601)</f>
        <v>Tono Saputra</v>
      </c>
      <c r="C329" t="str">
        <f>_xlfn.XLOOKUP(A329,'Tabel Referensi'!$A$2:$A$601,'Tabel Referensi'!$C$2:$C$601)</f>
        <v>08873397855</v>
      </c>
      <c r="D329" t="str">
        <f>_xlfn.XLOOKUP(A329,'Tabel Referensi'!$A$2:$A$601,'Tabel Referensi'!$D$2:$D$601)</f>
        <v>Bandung</v>
      </c>
    </row>
    <row r="330" spans="1:4" x14ac:dyDescent="0.35">
      <c r="A330" s="2">
        <v>10593</v>
      </c>
      <c r="B330" t="str">
        <f>_xlfn.XLOOKUP(A330,'Tabel Referensi'!$A$2:$A$601,'Tabel Referensi'!$B$2:$B$601)</f>
        <v>Vina Pratama</v>
      </c>
      <c r="C330" t="str">
        <f>_xlfn.XLOOKUP(A330,'Tabel Referensi'!$A$2:$A$601,'Tabel Referensi'!$C$2:$C$601)</f>
        <v>088966734595</v>
      </c>
      <c r="D330" t="str">
        <f>_xlfn.XLOOKUP(A330,'Tabel Referensi'!$A$2:$A$601,'Tabel Referensi'!$D$2:$D$601)</f>
        <v>Yogyakarta</v>
      </c>
    </row>
    <row r="331" spans="1:4" x14ac:dyDescent="0.35">
      <c r="A331" s="2">
        <v>10504</v>
      </c>
      <c r="B331" t="str">
        <f>_xlfn.XLOOKUP(A331,'Tabel Referensi'!$A$2:$A$601,'Tabel Referensi'!$B$2:$B$601)</f>
        <v>Dewi Gunawan</v>
      </c>
      <c r="C331" t="str">
        <f>_xlfn.XLOOKUP(A331,'Tabel Referensi'!$A$2:$A$601,'Tabel Referensi'!$C$2:$C$601)</f>
        <v>088080882351</v>
      </c>
      <c r="D331" t="str">
        <f>_xlfn.XLOOKUP(A331,'Tabel Referensi'!$A$2:$A$601,'Tabel Referensi'!$D$2:$D$601)</f>
        <v>Palembang</v>
      </c>
    </row>
    <row r="332" spans="1:4" x14ac:dyDescent="0.35">
      <c r="A332" s="2">
        <v>10559</v>
      </c>
      <c r="B332" t="str">
        <f>_xlfn.XLOOKUP(A332,'Tabel Referensi'!$A$2:$A$601,'Tabel Referensi'!$B$2:$B$601)</f>
        <v>Zaki Wijaya</v>
      </c>
      <c r="C332" t="str">
        <f>_xlfn.XLOOKUP(A332,'Tabel Referensi'!$A$2:$A$601,'Tabel Referensi'!$C$2:$C$601)</f>
        <v>088981209957</v>
      </c>
      <c r="D332" t="str">
        <f>_xlfn.XLOOKUP(A332,'Tabel Referensi'!$A$2:$A$601,'Tabel Referensi'!$D$2:$D$601)</f>
        <v>Yogyakarta</v>
      </c>
    </row>
    <row r="333" spans="1:4" x14ac:dyDescent="0.35">
      <c r="A333" s="2">
        <v>10506</v>
      </c>
      <c r="B333" t="str">
        <f>_xlfn.XLOOKUP(A333,'Tabel Referensi'!$A$2:$A$601,'Tabel Referensi'!$B$2:$B$601)</f>
        <v>Made Pratama</v>
      </c>
      <c r="C333" t="str">
        <f>_xlfn.XLOOKUP(A333,'Tabel Referensi'!$A$2:$A$601,'Tabel Referensi'!$C$2:$C$601)</f>
        <v>088591966395</v>
      </c>
      <c r="D333" t="str">
        <f>_xlfn.XLOOKUP(A333,'Tabel Referensi'!$A$2:$A$601,'Tabel Referensi'!$D$2:$D$601)</f>
        <v>Malang</v>
      </c>
    </row>
    <row r="334" spans="1:4" x14ac:dyDescent="0.35">
      <c r="A334" s="2">
        <v>10151</v>
      </c>
      <c r="B334" t="str">
        <f>_xlfn.XLOOKUP(A334,'Tabel Referensi'!$A$2:$A$601,'Tabel Referensi'!$B$2:$B$601)</f>
        <v>Hadi Kusuma</v>
      </c>
      <c r="C334" t="str">
        <f>_xlfn.XLOOKUP(A334,'Tabel Referensi'!$A$2:$A$601,'Tabel Referensi'!$C$2:$C$601)</f>
        <v>088853747411</v>
      </c>
      <c r="D334" t="str">
        <f>_xlfn.XLOOKUP(A334,'Tabel Referensi'!$A$2:$A$601,'Tabel Referensi'!$D$2:$D$601)</f>
        <v>Surabaya</v>
      </c>
    </row>
    <row r="335" spans="1:4" x14ac:dyDescent="0.35">
      <c r="A335" s="2">
        <v>10175</v>
      </c>
      <c r="B335" t="str">
        <f>_xlfn.XLOOKUP(A335,'Tabel Referensi'!$A$2:$A$601,'Tabel Referensi'!$B$2:$B$601)</f>
        <v>Vina Gunawan</v>
      </c>
      <c r="C335" t="str">
        <f>_xlfn.XLOOKUP(A335,'Tabel Referensi'!$A$2:$A$601,'Tabel Referensi'!$C$2:$C$601)</f>
        <v>088520744666</v>
      </c>
      <c r="D335" t="str">
        <f>_xlfn.XLOOKUP(A335,'Tabel Referensi'!$A$2:$A$601,'Tabel Referensi'!$D$2:$D$601)</f>
        <v>Semarang</v>
      </c>
    </row>
    <row r="336" spans="1:4" x14ac:dyDescent="0.35">
      <c r="A336" s="2">
        <v>10395</v>
      </c>
      <c r="B336" t="str">
        <f>_xlfn.XLOOKUP(A336,'Tabel Referensi'!$A$2:$A$601,'Tabel Referensi'!$B$2:$B$601)</f>
        <v>Yani Setiawan</v>
      </c>
      <c r="C336" t="str">
        <f>_xlfn.XLOOKUP(A336,'Tabel Referensi'!$A$2:$A$601,'Tabel Referensi'!$C$2:$C$601)</f>
        <v>08775803046</v>
      </c>
      <c r="D336" t="str">
        <f>_xlfn.XLOOKUP(A336,'Tabel Referensi'!$A$2:$A$601,'Tabel Referensi'!$D$2:$D$601)</f>
        <v>Palembang</v>
      </c>
    </row>
    <row r="337" spans="1:4" x14ac:dyDescent="0.35">
      <c r="A337" s="2">
        <v>10523</v>
      </c>
      <c r="B337" t="str">
        <f>_xlfn.XLOOKUP(A337,'Tabel Referensi'!$A$2:$A$601,'Tabel Referensi'!$B$2:$B$601)</f>
        <v>Nita Nugroho</v>
      </c>
      <c r="C337" t="str">
        <f>_xlfn.XLOOKUP(A337,'Tabel Referensi'!$A$2:$A$601,'Tabel Referensi'!$C$2:$C$601)</f>
        <v>088614878245</v>
      </c>
      <c r="D337" t="str">
        <f>_xlfn.XLOOKUP(A337,'Tabel Referensi'!$A$2:$A$601,'Tabel Referensi'!$D$2:$D$601)</f>
        <v>Yogyakarta</v>
      </c>
    </row>
    <row r="338" spans="1:4" x14ac:dyDescent="0.35">
      <c r="A338" s="2">
        <v>10251</v>
      </c>
      <c r="B338" t="str">
        <f>_xlfn.XLOOKUP(A338,'Tabel Referensi'!$A$2:$A$601,'Tabel Referensi'!$B$2:$B$601)</f>
        <v>Andi Lestari</v>
      </c>
      <c r="C338" t="str">
        <f>_xlfn.XLOOKUP(A338,'Tabel Referensi'!$A$2:$A$601,'Tabel Referensi'!$C$2:$C$601)</f>
        <v>088992107522</v>
      </c>
      <c r="D338" t="str">
        <f>_xlfn.XLOOKUP(A338,'Tabel Referensi'!$A$2:$A$601,'Tabel Referensi'!$D$2:$D$601)</f>
        <v>Medan</v>
      </c>
    </row>
    <row r="339" spans="1:4" x14ac:dyDescent="0.35">
      <c r="A339" s="2">
        <v>10446</v>
      </c>
      <c r="B339" t="str">
        <f>_xlfn.XLOOKUP(A339,'Tabel Referensi'!$A$2:$A$601,'Tabel Referensi'!$B$2:$B$601)</f>
        <v>Vina Siregar</v>
      </c>
      <c r="C339" t="str">
        <f>_xlfn.XLOOKUP(A339,'Tabel Referensi'!$A$2:$A$601,'Tabel Referensi'!$C$2:$C$601)</f>
        <v>088783099974</v>
      </c>
      <c r="D339" t="str">
        <f>_xlfn.XLOOKUP(A339,'Tabel Referensi'!$A$2:$A$601,'Tabel Referensi'!$D$2:$D$601)</f>
        <v>Palembang</v>
      </c>
    </row>
    <row r="340" spans="1:4" x14ac:dyDescent="0.35">
      <c r="A340" s="2">
        <v>10037</v>
      </c>
      <c r="B340" t="str">
        <f>_xlfn.XLOOKUP(A340,'Tabel Referensi'!$A$2:$A$601,'Tabel Referensi'!$B$2:$B$601)</f>
        <v>Ahmad Hidayat</v>
      </c>
      <c r="C340" t="str">
        <f>_xlfn.XLOOKUP(A340,'Tabel Referensi'!$A$2:$A$601,'Tabel Referensi'!$C$2:$C$601)</f>
        <v/>
      </c>
      <c r="D340" t="str">
        <f>_xlfn.XLOOKUP(A340,'Tabel Referensi'!$A$2:$A$601,'Tabel Referensi'!$D$2:$D$601)</f>
        <v>Semarang</v>
      </c>
    </row>
    <row r="341" spans="1:4" x14ac:dyDescent="0.35">
      <c r="A341" s="2">
        <v>10597</v>
      </c>
      <c r="B341" t="str">
        <f>_xlfn.XLOOKUP(A341,'Tabel Referensi'!$A$2:$A$601,'Tabel Referensi'!$B$2:$B$601)</f>
        <v>Sari Kusuma</v>
      </c>
      <c r="C341" t="str">
        <f>_xlfn.XLOOKUP(A341,'Tabel Referensi'!$A$2:$A$601,'Tabel Referensi'!$C$2:$C$601)</f>
        <v>088809961327</v>
      </c>
      <c r="D341" t="str">
        <f>_xlfn.XLOOKUP(A341,'Tabel Referensi'!$A$2:$A$601,'Tabel Referensi'!$D$2:$D$601)</f>
        <v>Palembang</v>
      </c>
    </row>
    <row r="342" spans="1:4" x14ac:dyDescent="0.35">
      <c r="A342" s="2">
        <v>10168</v>
      </c>
      <c r="B342" t="str">
        <f>_xlfn.XLOOKUP(A342,'Tabel Referensi'!$A$2:$A$601,'Tabel Referensi'!$B$2:$B$601)</f>
        <v>Bella Marpaung</v>
      </c>
      <c r="C342" t="str">
        <f>_xlfn.XLOOKUP(A342,'Tabel Referensi'!$A$2:$A$601,'Tabel Referensi'!$C$2:$C$601)</f>
        <v>088485646799</v>
      </c>
      <c r="D342" t="str">
        <f>_xlfn.XLOOKUP(A342,'Tabel Referensi'!$A$2:$A$601,'Tabel Referensi'!$D$2:$D$601)</f>
        <v>Makassar</v>
      </c>
    </row>
    <row r="343" spans="1:4" x14ac:dyDescent="0.35">
      <c r="A343" s="2">
        <v>10135</v>
      </c>
      <c r="B343" t="str">
        <f>_xlfn.XLOOKUP(A343,'Tabel Referensi'!$A$2:$A$601,'Tabel Referensi'!$B$2:$B$601)</f>
        <v>Ahmad Marpaung</v>
      </c>
      <c r="C343" t="str">
        <f>_xlfn.XLOOKUP(A343,'Tabel Referensi'!$A$2:$A$601,'Tabel Referensi'!$C$2:$C$601)</f>
        <v>088672946671</v>
      </c>
      <c r="D343" t="str">
        <f>_xlfn.XLOOKUP(A343,'Tabel Referensi'!$A$2:$A$601,'Tabel Referensi'!$D$2:$D$601)</f>
        <v>Semarang</v>
      </c>
    </row>
    <row r="344" spans="1:4" x14ac:dyDescent="0.35">
      <c r="A344" s="2">
        <v>10107</v>
      </c>
      <c r="B344" t="str">
        <f>_xlfn.XLOOKUP(A344,'Tabel Referensi'!$A$2:$A$601,'Tabel Referensi'!$B$2:$B$601)</f>
        <v>Umi Saputra</v>
      </c>
      <c r="C344" t="str">
        <f>_xlfn.XLOOKUP(A344,'Tabel Referensi'!$A$2:$A$601,'Tabel Referensi'!$C$2:$C$601)</f>
        <v>088673830284</v>
      </c>
      <c r="D344" t="str">
        <f>_xlfn.XLOOKUP(A344,'Tabel Referensi'!$A$2:$A$601,'Tabel Referensi'!$D$2:$D$601)</f>
        <v>Bandung</v>
      </c>
    </row>
    <row r="345" spans="1:4" x14ac:dyDescent="0.35">
      <c r="A345" s="2">
        <v>10247</v>
      </c>
      <c r="B345" t="str">
        <f>_xlfn.XLOOKUP(A345,'Tabel Referensi'!$A$2:$A$601,'Tabel Referensi'!$B$2:$B$601)</f>
        <v>Wawan Nasution</v>
      </c>
      <c r="C345" t="str">
        <f>_xlfn.XLOOKUP(A345,'Tabel Referensi'!$A$2:$A$601,'Tabel Referensi'!$C$2:$C$601)</f>
        <v/>
      </c>
      <c r="D345" t="str">
        <f>_xlfn.XLOOKUP(A345,'Tabel Referensi'!$A$2:$A$601,'Tabel Referensi'!$D$2:$D$601)</f>
        <v>Malang</v>
      </c>
    </row>
    <row r="346" spans="1:4" x14ac:dyDescent="0.35">
      <c r="A346" s="2">
        <v>10072</v>
      </c>
      <c r="B346" t="str">
        <f>_xlfn.XLOOKUP(A346,'Tabel Referensi'!$A$2:$A$601,'Tabel Referensi'!$B$2:$B$601)</f>
        <v>Eka Siregar</v>
      </c>
      <c r="C346" t="str">
        <f>_xlfn.XLOOKUP(A346,'Tabel Referensi'!$A$2:$A$601,'Tabel Referensi'!$C$2:$C$601)</f>
        <v>088947383473</v>
      </c>
      <c r="D346" t="str">
        <f>_xlfn.XLOOKUP(A346,'Tabel Referensi'!$A$2:$A$601,'Tabel Referensi'!$D$2:$D$601)</f>
        <v>Surabaya</v>
      </c>
    </row>
    <row r="347" spans="1:4" x14ac:dyDescent="0.35">
      <c r="A347" s="2">
        <v>10173</v>
      </c>
      <c r="B347" t="str">
        <f>_xlfn.XLOOKUP(A347,'Tabel Referensi'!$A$2:$A$601,'Tabel Referensi'!$B$2:$B$601)</f>
        <v>Ahmad Hidayat</v>
      </c>
      <c r="C347" t="str">
        <f>_xlfn.XLOOKUP(A347,'Tabel Referensi'!$A$2:$A$601,'Tabel Referensi'!$C$2:$C$601)</f>
        <v>088290349446</v>
      </c>
      <c r="D347" t="str">
        <f>_xlfn.XLOOKUP(A347,'Tabel Referensi'!$A$2:$A$601,'Tabel Referensi'!$D$2:$D$601)</f>
        <v>Bandung</v>
      </c>
    </row>
    <row r="348" spans="1:4" x14ac:dyDescent="0.35">
      <c r="A348" s="2">
        <v>10578</v>
      </c>
      <c r="B348" t="str">
        <f>_xlfn.XLOOKUP(A348,'Tabel Referensi'!$A$2:$A$601,'Tabel Referensi'!$B$2:$B$601)</f>
        <v>Umi Halim</v>
      </c>
      <c r="C348" t="str">
        <f>_xlfn.XLOOKUP(A348,'Tabel Referensi'!$A$2:$A$601,'Tabel Referensi'!$C$2:$C$601)</f>
        <v>088735228705</v>
      </c>
      <c r="D348" t="str">
        <f>_xlfn.XLOOKUP(A348,'Tabel Referensi'!$A$2:$A$601,'Tabel Referensi'!$D$2:$D$601)</f>
        <v>Surabaya</v>
      </c>
    </row>
    <row r="349" spans="1:4" x14ac:dyDescent="0.35">
      <c r="A349" s="2">
        <v>10211</v>
      </c>
      <c r="B349" t="str">
        <f>_xlfn.XLOOKUP(A349,'Tabel Referensi'!$A$2:$A$601,'Tabel Referensi'!$B$2:$B$601)</f>
        <v>Rian Halim</v>
      </c>
      <c r="C349" t="str">
        <f>_xlfn.XLOOKUP(A349,'Tabel Referensi'!$A$2:$A$601,'Tabel Referensi'!$C$2:$C$601)</f>
        <v>088498926659</v>
      </c>
      <c r="D349" t="str">
        <f>_xlfn.XLOOKUP(A349,'Tabel Referensi'!$A$2:$A$601,'Tabel Referensi'!$D$2:$D$601)</f>
        <v>Palembang</v>
      </c>
    </row>
    <row r="350" spans="1:4" x14ac:dyDescent="0.35">
      <c r="A350" s="2">
        <v>10187</v>
      </c>
      <c r="B350" t="str">
        <f>_xlfn.XLOOKUP(A350,'Tabel Referensi'!$A$2:$A$601,'Tabel Referensi'!$B$2:$B$601)</f>
        <v>Putri Nasution</v>
      </c>
      <c r="C350" t="str">
        <f>_xlfn.XLOOKUP(A350,'Tabel Referensi'!$A$2:$A$601,'Tabel Referensi'!$C$2:$C$601)</f>
        <v>088993588916</v>
      </c>
      <c r="D350" t="str">
        <f>_xlfn.XLOOKUP(A350,'Tabel Referensi'!$A$2:$A$601,'Tabel Referensi'!$D$2:$D$601)</f>
        <v>Makassar</v>
      </c>
    </row>
    <row r="351" spans="1:4" x14ac:dyDescent="0.35">
      <c r="A351" s="2">
        <v>10086</v>
      </c>
      <c r="B351" t="str">
        <f>_xlfn.XLOOKUP(A351,'Tabel Referensi'!$A$2:$A$601,'Tabel Referensi'!$B$2:$B$601)</f>
        <v>Erik Santoso</v>
      </c>
      <c r="C351" t="str">
        <f>_xlfn.XLOOKUP(A351,'Tabel Referensi'!$A$2:$A$601,'Tabel Referensi'!$C$2:$C$601)</f>
        <v>088358414384</v>
      </c>
      <c r="D351" t="str">
        <f>_xlfn.XLOOKUP(A351,'Tabel Referensi'!$A$2:$A$601,'Tabel Referensi'!$D$2:$D$601)</f>
        <v>Makassar</v>
      </c>
    </row>
    <row r="352" spans="1:4" x14ac:dyDescent="0.35">
      <c r="A352" s="2">
        <v>10057</v>
      </c>
      <c r="B352" t="str">
        <f>_xlfn.XLOOKUP(A352,'Tabel Referensi'!$A$2:$A$601,'Tabel Referensi'!$B$2:$B$601)</f>
        <v>Nita Pratama</v>
      </c>
      <c r="C352" t="str">
        <f>_xlfn.XLOOKUP(A352,'Tabel Referensi'!$A$2:$A$601,'Tabel Referensi'!$C$2:$C$601)</f>
        <v>08985698478</v>
      </c>
      <c r="D352" t="str">
        <f>_xlfn.XLOOKUP(A352,'Tabel Referensi'!$A$2:$A$601,'Tabel Referensi'!$D$2:$D$601)</f>
        <v>Palembang</v>
      </c>
    </row>
    <row r="353" spans="1:4" x14ac:dyDescent="0.35">
      <c r="A353" s="2">
        <v>10534</v>
      </c>
      <c r="B353" t="str">
        <f>_xlfn.XLOOKUP(A353,'Tabel Referensi'!$A$2:$A$601,'Tabel Referensi'!$B$2:$B$601)</f>
        <v>Andi Santoso</v>
      </c>
      <c r="C353" t="str">
        <f>_xlfn.XLOOKUP(A353,'Tabel Referensi'!$A$2:$A$601,'Tabel Referensi'!$C$2:$C$601)</f>
        <v>088595724461</v>
      </c>
      <c r="D353" t="str">
        <f>_xlfn.XLOOKUP(A353,'Tabel Referensi'!$A$2:$A$601,'Tabel Referensi'!$D$2:$D$601)</f>
        <v>Denpasar</v>
      </c>
    </row>
    <row r="354" spans="1:4" x14ac:dyDescent="0.35">
      <c r="A354" s="2">
        <v>10074</v>
      </c>
      <c r="B354" t="str">
        <f>_xlfn.XLOOKUP(A354,'Tabel Referensi'!$A$2:$A$601,'Tabel Referensi'!$B$2:$B$601)</f>
        <v>Dian Halim</v>
      </c>
      <c r="C354" t="str">
        <f>_xlfn.XLOOKUP(A354,'Tabel Referensi'!$A$2:$A$601,'Tabel Referensi'!$C$2:$C$601)</f>
        <v>088261375060</v>
      </c>
      <c r="D354" t="str">
        <f>_xlfn.XLOOKUP(A354,'Tabel Referensi'!$A$2:$A$601,'Tabel Referensi'!$D$2:$D$601)</f>
        <v>Jakarta</v>
      </c>
    </row>
    <row r="355" spans="1:4" x14ac:dyDescent="0.35">
      <c r="A355" s="2">
        <v>10053</v>
      </c>
      <c r="B355" t="str">
        <f>_xlfn.XLOOKUP(A355,'Tabel Referensi'!$A$2:$A$601,'Tabel Referensi'!$B$2:$B$601)</f>
        <v>Putri Pratama</v>
      </c>
      <c r="C355" t="str">
        <f>_xlfn.XLOOKUP(A355,'Tabel Referensi'!$A$2:$A$601,'Tabel Referensi'!$C$2:$C$601)</f>
        <v>088261796405</v>
      </c>
      <c r="D355" t="str">
        <f>_xlfn.XLOOKUP(A355,'Tabel Referensi'!$A$2:$A$601,'Tabel Referensi'!$D$2:$D$601)</f>
        <v>Bandung</v>
      </c>
    </row>
    <row r="356" spans="1:4" x14ac:dyDescent="0.35">
      <c r="A356" s="2">
        <v>10063</v>
      </c>
      <c r="B356" t="str">
        <f>_xlfn.XLOOKUP(A356,'Tabel Referensi'!$A$2:$A$601,'Tabel Referensi'!$B$2:$B$601)</f>
        <v>Wawan Rahayu</v>
      </c>
      <c r="C356" t="str">
        <f>_xlfn.XLOOKUP(A356,'Tabel Referensi'!$A$2:$A$601,'Tabel Referensi'!$C$2:$C$601)</f>
        <v>08451076226</v>
      </c>
      <c r="D356" t="str">
        <f>_xlfn.XLOOKUP(A356,'Tabel Referensi'!$A$2:$A$601,'Tabel Referensi'!$D$2:$D$601)</f>
        <v>Bandung</v>
      </c>
    </row>
    <row r="357" spans="1:4" x14ac:dyDescent="0.35">
      <c r="A357" s="2">
        <v>10219</v>
      </c>
      <c r="B357" t="str">
        <f>_xlfn.XLOOKUP(A357,'Tabel Referensi'!$A$2:$A$601,'Tabel Referensi'!$B$2:$B$601)</f>
        <v>Sari Nasution</v>
      </c>
      <c r="C357" t="str">
        <f>_xlfn.XLOOKUP(A357,'Tabel Referensi'!$A$2:$A$601,'Tabel Referensi'!$C$2:$C$601)</f>
        <v>08137213865</v>
      </c>
      <c r="D357" t="str">
        <f>_xlfn.XLOOKUP(A357,'Tabel Referensi'!$A$2:$A$601,'Tabel Referensi'!$D$2:$D$601)</f>
        <v>Yogyakarta</v>
      </c>
    </row>
    <row r="358" spans="1:4" x14ac:dyDescent="0.35">
      <c r="A358" s="2">
        <v>10225</v>
      </c>
      <c r="B358" t="str">
        <f>_xlfn.XLOOKUP(A358,'Tabel Referensi'!$A$2:$A$601,'Tabel Referensi'!$B$2:$B$601)</f>
        <v>Dian Saputra</v>
      </c>
      <c r="C358" t="str">
        <f>_xlfn.XLOOKUP(A358,'Tabel Referensi'!$A$2:$A$601,'Tabel Referensi'!$C$2:$C$601)</f>
        <v>088588043416</v>
      </c>
      <c r="D358" t="str">
        <f>_xlfn.XLOOKUP(A358,'Tabel Referensi'!$A$2:$A$601,'Tabel Referensi'!$D$2:$D$601)</f>
        <v>Jakarta</v>
      </c>
    </row>
    <row r="359" spans="1:4" x14ac:dyDescent="0.35">
      <c r="A359" s="2">
        <v>10548</v>
      </c>
      <c r="B359" t="str">
        <f>_xlfn.XLOOKUP(A359,'Tabel Referensi'!$A$2:$A$601,'Tabel Referensi'!$B$2:$B$601)</f>
        <v>Hadi Hidayat</v>
      </c>
      <c r="C359" t="str">
        <f>_xlfn.XLOOKUP(A359,'Tabel Referensi'!$A$2:$A$601,'Tabel Referensi'!$C$2:$C$601)</f>
        <v>088095493059</v>
      </c>
      <c r="D359" t="str">
        <f>_xlfn.XLOOKUP(A359,'Tabel Referensi'!$A$2:$A$601,'Tabel Referensi'!$D$2:$D$601)</f>
        <v>Surabaya</v>
      </c>
    </row>
    <row r="360" spans="1:4" x14ac:dyDescent="0.35">
      <c r="A360" s="2">
        <v>10501</v>
      </c>
      <c r="B360" t="str">
        <f>_xlfn.XLOOKUP(A360,'Tabel Referensi'!$A$2:$A$601,'Tabel Referensi'!$B$2:$B$601)</f>
        <v>Citra Kusuma</v>
      </c>
      <c r="C360" t="str">
        <f>_xlfn.XLOOKUP(A360,'Tabel Referensi'!$A$2:$A$601,'Tabel Referensi'!$C$2:$C$601)</f>
        <v>08027523343</v>
      </c>
      <c r="D360" t="str">
        <f>_xlfn.XLOOKUP(A360,'Tabel Referensi'!$A$2:$A$601,'Tabel Referensi'!$D$2:$D$601)</f>
        <v>Makassar</v>
      </c>
    </row>
    <row r="361" spans="1:4" x14ac:dyDescent="0.35">
      <c r="A361" s="2">
        <v>10499</v>
      </c>
      <c r="B361" t="str">
        <f>_xlfn.XLOOKUP(A361,'Tabel Referensi'!$A$2:$A$601,'Tabel Referensi'!$B$2:$B$601)</f>
        <v>Joko Setiawan</v>
      </c>
      <c r="C361" t="str">
        <f>_xlfn.XLOOKUP(A361,'Tabel Referensi'!$A$2:$A$601,'Tabel Referensi'!$C$2:$C$601)</f>
        <v>088895529638</v>
      </c>
      <c r="D361" t="str">
        <f>_xlfn.XLOOKUP(A361,'Tabel Referensi'!$A$2:$A$601,'Tabel Referensi'!$D$2:$D$601)</f>
        <v>Semarang</v>
      </c>
    </row>
    <row r="362" spans="1:4" x14ac:dyDescent="0.35">
      <c r="A362" s="2">
        <v>10186</v>
      </c>
      <c r="B362" t="str">
        <f>_xlfn.XLOOKUP(A362,'Tabel Referensi'!$A$2:$A$601,'Tabel Referensi'!$B$2:$B$601)</f>
        <v>Made Siregar</v>
      </c>
      <c r="C362" t="str">
        <f>_xlfn.XLOOKUP(A362,'Tabel Referensi'!$A$2:$A$601,'Tabel Referensi'!$C$2:$C$601)</f>
        <v>088979729659</v>
      </c>
      <c r="D362" t="str">
        <f>_xlfn.XLOOKUP(A362,'Tabel Referensi'!$A$2:$A$601,'Tabel Referensi'!$D$2:$D$601)</f>
        <v>Semarang</v>
      </c>
    </row>
    <row r="363" spans="1:4" x14ac:dyDescent="0.35">
      <c r="A363" s="2">
        <v>10020</v>
      </c>
      <c r="B363" t="str">
        <f>_xlfn.XLOOKUP(A363,'Tabel Referensi'!$A$2:$A$601,'Tabel Referensi'!$B$2:$B$601)</f>
        <v>Andi Hidayat</v>
      </c>
      <c r="C363" t="str">
        <f>_xlfn.XLOOKUP(A363,'Tabel Referensi'!$A$2:$A$601,'Tabel Referensi'!$C$2:$C$601)</f>
        <v>088656482366</v>
      </c>
      <c r="D363" t="str">
        <f>_xlfn.XLOOKUP(A363,'Tabel Referensi'!$A$2:$A$601,'Tabel Referensi'!$D$2:$D$601)</f>
        <v>Makassar</v>
      </c>
    </row>
    <row r="364" spans="1:4" x14ac:dyDescent="0.35">
      <c r="A364" s="2">
        <v>10530</v>
      </c>
      <c r="B364" t="str">
        <f>_xlfn.XLOOKUP(A364,'Tabel Referensi'!$A$2:$A$601,'Tabel Referensi'!$B$2:$B$601)</f>
        <v>Tono Nasution</v>
      </c>
      <c r="C364" t="str">
        <f>_xlfn.XLOOKUP(A364,'Tabel Referensi'!$A$2:$A$601,'Tabel Referensi'!$C$2:$C$601)</f>
        <v>088723244079</v>
      </c>
      <c r="D364" t="str">
        <f>_xlfn.XLOOKUP(A364,'Tabel Referensi'!$A$2:$A$601,'Tabel Referensi'!$D$2:$D$601)</f>
        <v>Medan</v>
      </c>
    </row>
    <row r="365" spans="1:4" x14ac:dyDescent="0.35">
      <c r="A365" s="2">
        <v>10203</v>
      </c>
      <c r="B365" t="str">
        <f>_xlfn.XLOOKUP(A365,'Tabel Referensi'!$A$2:$A$601,'Tabel Referensi'!$B$2:$B$601)</f>
        <v>Vina Kusuma</v>
      </c>
      <c r="C365" t="str">
        <f>_xlfn.XLOOKUP(A365,'Tabel Referensi'!$A$2:$A$601,'Tabel Referensi'!$C$2:$C$601)</f>
        <v>088766072832</v>
      </c>
      <c r="D365" t="str">
        <f>_xlfn.XLOOKUP(A365,'Tabel Referensi'!$A$2:$A$601,'Tabel Referensi'!$D$2:$D$601)</f>
        <v>Medan</v>
      </c>
    </row>
    <row r="366" spans="1:4" x14ac:dyDescent="0.35">
      <c r="A366" s="2">
        <v>10149</v>
      </c>
      <c r="B366" t="str">
        <f>_xlfn.XLOOKUP(A366,'Tabel Referensi'!$A$2:$A$601,'Tabel Referensi'!$B$2:$B$601)</f>
        <v>Andi Marpaung</v>
      </c>
      <c r="C366" t="str">
        <f>_xlfn.XLOOKUP(A366,'Tabel Referensi'!$A$2:$A$601,'Tabel Referensi'!$C$2:$C$601)</f>
        <v>088836702410</v>
      </c>
      <c r="D366" t="str">
        <f>_xlfn.XLOOKUP(A366,'Tabel Referensi'!$A$2:$A$601,'Tabel Referensi'!$D$2:$D$601)</f>
        <v>Bandung</v>
      </c>
    </row>
    <row r="367" spans="1:4" x14ac:dyDescent="0.35">
      <c r="A367" s="2">
        <v>10563</v>
      </c>
      <c r="B367" t="str">
        <f>_xlfn.XLOOKUP(A367,'Tabel Referensi'!$A$2:$A$601,'Tabel Referensi'!$B$2:$B$601)</f>
        <v>Lina Hidayat</v>
      </c>
      <c r="C367" t="str">
        <f>_xlfn.XLOOKUP(A367,'Tabel Referensi'!$A$2:$A$601,'Tabel Referensi'!$C$2:$C$601)</f>
        <v>088674124151</v>
      </c>
      <c r="D367" t="str">
        <f>_xlfn.XLOOKUP(A367,'Tabel Referensi'!$A$2:$A$601,'Tabel Referensi'!$D$2:$D$601)</f>
        <v>Malang</v>
      </c>
    </row>
    <row r="368" spans="1:4" x14ac:dyDescent="0.35">
      <c r="A368" s="2">
        <v>10516</v>
      </c>
      <c r="B368" t="str">
        <f>_xlfn.XLOOKUP(A368,'Tabel Referensi'!$A$2:$A$601,'Tabel Referensi'!$B$2:$B$601)</f>
        <v>Rian Hidayat</v>
      </c>
      <c r="C368" t="str">
        <f>_xlfn.XLOOKUP(A368,'Tabel Referensi'!$A$2:$A$601,'Tabel Referensi'!$C$2:$C$601)</f>
        <v>08113072407</v>
      </c>
      <c r="D368" t="str">
        <f>_xlfn.XLOOKUP(A368,'Tabel Referensi'!$A$2:$A$601,'Tabel Referensi'!$D$2:$D$601)</f>
        <v>Bandung</v>
      </c>
    </row>
    <row r="369" spans="1:4" x14ac:dyDescent="0.35">
      <c r="A369" s="2">
        <v>10246</v>
      </c>
      <c r="B369" t="str">
        <f>_xlfn.XLOOKUP(A369,'Tabel Referensi'!$A$2:$A$601,'Tabel Referensi'!$B$2:$B$601)</f>
        <v>Ahmad Lestari</v>
      </c>
      <c r="C369" t="str">
        <f>_xlfn.XLOOKUP(A369,'Tabel Referensi'!$A$2:$A$601,'Tabel Referensi'!$C$2:$C$601)</f>
        <v>08220317310</v>
      </c>
      <c r="D369" t="str">
        <f>_xlfn.XLOOKUP(A369,'Tabel Referensi'!$A$2:$A$601,'Tabel Referensi'!$D$2:$D$601)</f>
        <v>Semarang</v>
      </c>
    </row>
    <row r="370" spans="1:4" x14ac:dyDescent="0.35">
      <c r="A370" s="2">
        <v>10224</v>
      </c>
      <c r="B370" t="str">
        <f>_xlfn.XLOOKUP(A370,'Tabel Referensi'!$A$2:$A$601,'Tabel Referensi'!$B$2:$B$601)</f>
        <v>Fajar Marpaung</v>
      </c>
      <c r="C370" t="str">
        <f>_xlfn.XLOOKUP(A370,'Tabel Referensi'!$A$2:$A$601,'Tabel Referensi'!$C$2:$C$601)</f>
        <v>088947697357</v>
      </c>
      <c r="D370" t="str">
        <f>_xlfn.XLOOKUP(A370,'Tabel Referensi'!$A$2:$A$601,'Tabel Referensi'!$D$2:$D$601)</f>
        <v>Jakarta</v>
      </c>
    </row>
    <row r="371" spans="1:4" x14ac:dyDescent="0.35">
      <c r="A371" s="2">
        <v>10573</v>
      </c>
      <c r="B371" t="str">
        <f>_xlfn.XLOOKUP(A371,'Tabel Referensi'!$A$2:$A$601,'Tabel Referensi'!$B$2:$B$601)</f>
        <v>Indah Nasution</v>
      </c>
      <c r="C371" t="str">
        <f>_xlfn.XLOOKUP(A371,'Tabel Referensi'!$A$2:$A$601,'Tabel Referensi'!$C$2:$C$601)</f>
        <v>088883607658</v>
      </c>
      <c r="D371" t="str">
        <f>_xlfn.XLOOKUP(A371,'Tabel Referensi'!$A$2:$A$601,'Tabel Referensi'!$D$2:$D$601)</f>
        <v>Semarang</v>
      </c>
    </row>
    <row r="372" spans="1:4" x14ac:dyDescent="0.35">
      <c r="A372" s="2">
        <v>10591</v>
      </c>
      <c r="B372" t="str">
        <f>_xlfn.XLOOKUP(A372,'Tabel Referensi'!$A$2:$A$601,'Tabel Referensi'!$B$2:$B$601)</f>
        <v>Oki Santoso</v>
      </c>
      <c r="C372" t="str">
        <f>_xlfn.XLOOKUP(A372,'Tabel Referensi'!$A$2:$A$601,'Tabel Referensi'!$C$2:$C$601)</f>
        <v>088435884183</v>
      </c>
      <c r="D372" t="str">
        <f>_xlfn.XLOOKUP(A372,'Tabel Referensi'!$A$2:$A$601,'Tabel Referensi'!$D$2:$D$601)</f>
        <v>Malang</v>
      </c>
    </row>
    <row r="373" spans="1:4" x14ac:dyDescent="0.35">
      <c r="A373" s="2">
        <v>10331</v>
      </c>
      <c r="B373" t="str">
        <f>_xlfn.XLOOKUP(A373,'Tabel Referensi'!$A$2:$A$601,'Tabel Referensi'!$B$2:$B$601)</f>
        <v>Tono Wijaya</v>
      </c>
      <c r="C373" t="str">
        <f>_xlfn.XLOOKUP(A373,'Tabel Referensi'!$A$2:$A$601,'Tabel Referensi'!$C$2:$C$601)</f>
        <v>08393250124</v>
      </c>
      <c r="D373" t="str">
        <f>_xlfn.XLOOKUP(A373,'Tabel Referensi'!$A$2:$A$601,'Tabel Referensi'!$D$2:$D$601)</f>
        <v>Jakarta</v>
      </c>
    </row>
    <row r="374" spans="1:4" x14ac:dyDescent="0.35">
      <c r="A374" s="2">
        <v>10394</v>
      </c>
      <c r="B374" t="str">
        <f>_xlfn.XLOOKUP(A374,'Tabel Referensi'!$A$2:$A$601,'Tabel Referensi'!$B$2:$B$601)</f>
        <v>Dian Setiawan</v>
      </c>
      <c r="C374" t="str">
        <f>_xlfn.XLOOKUP(A374,'Tabel Referensi'!$A$2:$A$601,'Tabel Referensi'!$C$2:$C$601)</f>
        <v>088921249384</v>
      </c>
      <c r="D374" t="str">
        <f>_xlfn.XLOOKUP(A374,'Tabel Referensi'!$A$2:$A$601,'Tabel Referensi'!$D$2:$D$601)</f>
        <v>Denpasar</v>
      </c>
    </row>
    <row r="375" spans="1:4" x14ac:dyDescent="0.35">
      <c r="A375" s="2">
        <v>10061</v>
      </c>
      <c r="B375" t="str">
        <f>_xlfn.XLOOKUP(A375,'Tabel Referensi'!$A$2:$A$601,'Tabel Referensi'!$B$2:$B$601)</f>
        <v>Lina Saputra</v>
      </c>
      <c r="C375" t="str">
        <f>_xlfn.XLOOKUP(A375,'Tabel Referensi'!$A$2:$A$601,'Tabel Referensi'!$C$2:$C$601)</f>
        <v>088675254599</v>
      </c>
      <c r="D375" t="str">
        <f>_xlfn.XLOOKUP(A375,'Tabel Referensi'!$A$2:$A$601,'Tabel Referensi'!$D$2:$D$601)</f>
        <v>Surabaya</v>
      </c>
    </row>
    <row r="376" spans="1:4" x14ac:dyDescent="0.35">
      <c r="A376" s="2">
        <v>10275</v>
      </c>
      <c r="B376" t="str">
        <f>_xlfn.XLOOKUP(A376,'Tabel Referensi'!$A$2:$A$601,'Tabel Referensi'!$B$2:$B$601)</f>
        <v>Tono Gunawan</v>
      </c>
      <c r="C376" t="str">
        <f>_xlfn.XLOOKUP(A376,'Tabel Referensi'!$A$2:$A$601,'Tabel Referensi'!$C$2:$C$601)</f>
        <v>088568299629</v>
      </c>
      <c r="D376" t="str">
        <f>_xlfn.XLOOKUP(A376,'Tabel Referensi'!$A$2:$A$601,'Tabel Referensi'!$D$2:$D$601)</f>
        <v>Denpasar</v>
      </c>
    </row>
    <row r="377" spans="1:4" x14ac:dyDescent="0.35">
      <c r="A377" s="2">
        <v>10366</v>
      </c>
      <c r="B377" t="str">
        <f>_xlfn.XLOOKUP(A377,'Tabel Referensi'!$A$2:$A$601,'Tabel Referensi'!$B$2:$B$601)</f>
        <v>Citra Setiawan</v>
      </c>
      <c r="C377" t="str">
        <f>_xlfn.XLOOKUP(A377,'Tabel Referensi'!$A$2:$A$601,'Tabel Referensi'!$C$2:$C$601)</f>
        <v>088697499564</v>
      </c>
      <c r="D377" t="str">
        <f>_xlfn.XLOOKUP(A377,'Tabel Referensi'!$A$2:$A$601,'Tabel Referensi'!$D$2:$D$601)</f>
        <v>Makassar</v>
      </c>
    </row>
    <row r="378" spans="1:4" x14ac:dyDescent="0.35">
      <c r="A378" s="2">
        <v>10133</v>
      </c>
      <c r="B378" t="str">
        <f>_xlfn.XLOOKUP(A378,'Tabel Referensi'!$A$2:$A$601,'Tabel Referensi'!$B$2:$B$601)</f>
        <v>Tono Pratama</v>
      </c>
      <c r="C378" t="str">
        <f>_xlfn.XLOOKUP(A378,'Tabel Referensi'!$A$2:$A$601,'Tabel Referensi'!$C$2:$C$601)</f>
        <v>088340745171</v>
      </c>
      <c r="D378" t="str">
        <f>_xlfn.XLOOKUP(A378,'Tabel Referensi'!$A$2:$A$601,'Tabel Referensi'!$D$2:$D$601)</f>
        <v>Denpasar</v>
      </c>
    </row>
    <row r="379" spans="1:4" x14ac:dyDescent="0.35">
      <c r="A379" s="2">
        <v>10213</v>
      </c>
      <c r="B379" t="str">
        <f>_xlfn.XLOOKUP(A379,'Tabel Referensi'!$A$2:$A$601,'Tabel Referensi'!$B$2:$B$601)</f>
        <v>Umi Pratama</v>
      </c>
      <c r="C379" t="str">
        <f>_xlfn.XLOOKUP(A379,'Tabel Referensi'!$A$2:$A$601,'Tabel Referensi'!$C$2:$C$601)</f>
        <v>08603029922</v>
      </c>
      <c r="D379" t="str">
        <f>_xlfn.XLOOKUP(A379,'Tabel Referensi'!$A$2:$A$601,'Tabel Referensi'!$D$2:$D$601)</f>
        <v>Makassar</v>
      </c>
    </row>
    <row r="380" spans="1:4" x14ac:dyDescent="0.35">
      <c r="A380" s="2">
        <v>10197</v>
      </c>
      <c r="B380" t="str">
        <f>_xlfn.XLOOKUP(A380,'Tabel Referensi'!$A$2:$A$601,'Tabel Referensi'!$B$2:$B$601)</f>
        <v>Bella Gunawan</v>
      </c>
      <c r="C380" t="str">
        <f>_xlfn.XLOOKUP(A380,'Tabel Referensi'!$A$2:$A$601,'Tabel Referensi'!$C$2:$C$601)</f>
        <v>08933472122</v>
      </c>
      <c r="D380" t="str">
        <f>_xlfn.XLOOKUP(A380,'Tabel Referensi'!$A$2:$A$601,'Tabel Referensi'!$D$2:$D$601)</f>
        <v>Medan</v>
      </c>
    </row>
    <row r="381" spans="1:4" x14ac:dyDescent="0.35">
      <c r="A381" s="2">
        <v>10266</v>
      </c>
      <c r="B381" t="str">
        <f>_xlfn.XLOOKUP(A381,'Tabel Referensi'!$A$2:$A$601,'Tabel Referensi'!$B$2:$B$601)</f>
        <v>Erik Lestari</v>
      </c>
      <c r="C381" t="str">
        <f>_xlfn.XLOOKUP(A381,'Tabel Referensi'!$A$2:$A$601,'Tabel Referensi'!$C$2:$C$601)</f>
        <v>088570279371</v>
      </c>
      <c r="D381" t="str">
        <f>_xlfn.XLOOKUP(A381,'Tabel Referensi'!$A$2:$A$601,'Tabel Referensi'!$D$2:$D$601)</f>
        <v>Palembang</v>
      </c>
    </row>
    <row r="382" spans="1:4" x14ac:dyDescent="0.35">
      <c r="A382" s="2">
        <v>10208</v>
      </c>
      <c r="B382" t="str">
        <f>_xlfn.XLOOKUP(A382,'Tabel Referensi'!$A$2:$A$601,'Tabel Referensi'!$B$2:$B$601)</f>
        <v>Vina Kusuma</v>
      </c>
      <c r="C382" t="str">
        <f>_xlfn.XLOOKUP(A382,'Tabel Referensi'!$A$2:$A$601,'Tabel Referensi'!$C$2:$C$601)</f>
        <v>088969308488</v>
      </c>
      <c r="D382" t="str">
        <f>_xlfn.XLOOKUP(A382,'Tabel Referensi'!$A$2:$A$601,'Tabel Referensi'!$D$2:$D$601)</f>
        <v>Surabaya</v>
      </c>
    </row>
    <row r="383" spans="1:4" x14ac:dyDescent="0.35">
      <c r="A383" s="2">
        <v>10346</v>
      </c>
      <c r="B383" t="str">
        <f>_xlfn.XLOOKUP(A383,'Tabel Referensi'!$A$2:$A$601,'Tabel Referensi'!$B$2:$B$601)</f>
        <v>Oki Nasution</v>
      </c>
      <c r="C383" t="str">
        <f>_xlfn.XLOOKUP(A383,'Tabel Referensi'!$A$2:$A$601,'Tabel Referensi'!$C$2:$C$601)</f>
        <v>08482070015</v>
      </c>
      <c r="D383" t="str">
        <f>_xlfn.XLOOKUP(A383,'Tabel Referensi'!$A$2:$A$601,'Tabel Referensi'!$D$2:$D$601)</f>
        <v>Makassar</v>
      </c>
    </row>
    <row r="384" spans="1:4" x14ac:dyDescent="0.35">
      <c r="A384" s="2">
        <v>10489</v>
      </c>
      <c r="B384" t="str">
        <f>_xlfn.XLOOKUP(A384,'Tabel Referensi'!$A$2:$A$601,'Tabel Referensi'!$B$2:$B$601)</f>
        <v>Dian Rahayu</v>
      </c>
      <c r="C384" t="str">
        <f>_xlfn.XLOOKUP(A384,'Tabel Referensi'!$A$2:$A$601,'Tabel Referensi'!$C$2:$C$601)</f>
        <v>088687409038</v>
      </c>
      <c r="D384" t="str">
        <f>_xlfn.XLOOKUP(A384,'Tabel Referensi'!$A$2:$A$601,'Tabel Referensi'!$D$2:$D$601)</f>
        <v>Makassar</v>
      </c>
    </row>
    <row r="385" spans="1:4" x14ac:dyDescent="0.35">
      <c r="A385" s="2">
        <v>10016</v>
      </c>
      <c r="B385" t="str">
        <f>_xlfn.XLOOKUP(A385,'Tabel Referensi'!$A$2:$A$601,'Tabel Referensi'!$B$2:$B$601)</f>
        <v>Sari Marpaung</v>
      </c>
      <c r="C385" t="str">
        <f>_xlfn.XLOOKUP(A385,'Tabel Referensi'!$A$2:$A$601,'Tabel Referensi'!$C$2:$C$601)</f>
        <v>088204505331</v>
      </c>
      <c r="D385" t="str">
        <f>_xlfn.XLOOKUP(A385,'Tabel Referensi'!$A$2:$A$601,'Tabel Referensi'!$D$2:$D$601)</f>
        <v>Medan</v>
      </c>
    </row>
    <row r="386" spans="1:4" x14ac:dyDescent="0.35">
      <c r="A386" s="2">
        <v>10003</v>
      </c>
      <c r="B386" t="str">
        <f>_xlfn.XLOOKUP(A386,'Tabel Referensi'!$A$2:$A$601,'Tabel Referensi'!$B$2:$B$601)</f>
        <v>Umi Santoso</v>
      </c>
      <c r="C386" t="str">
        <f>_xlfn.XLOOKUP(A386,'Tabel Referensi'!$A$2:$A$601,'Tabel Referensi'!$C$2:$C$601)</f>
        <v>088030564139</v>
      </c>
      <c r="D386" t="str">
        <f>_xlfn.XLOOKUP(A386,'Tabel Referensi'!$A$2:$A$601,'Tabel Referensi'!$D$2:$D$601)</f>
        <v>Bandung</v>
      </c>
    </row>
    <row r="387" spans="1:4" x14ac:dyDescent="0.35">
      <c r="A387" s="2">
        <v>10035</v>
      </c>
      <c r="B387" t="str">
        <f>_xlfn.XLOOKUP(A387,'Tabel Referensi'!$A$2:$A$601,'Tabel Referensi'!$B$2:$B$601)</f>
        <v>Oki Gunawan</v>
      </c>
      <c r="C387" t="str">
        <f>_xlfn.XLOOKUP(A387,'Tabel Referensi'!$A$2:$A$601,'Tabel Referensi'!$C$2:$C$601)</f>
        <v>088022941318</v>
      </c>
      <c r="D387" t="str">
        <f>_xlfn.XLOOKUP(A387,'Tabel Referensi'!$A$2:$A$601,'Tabel Referensi'!$D$2:$D$601)</f>
        <v>Medan</v>
      </c>
    </row>
    <row r="388" spans="1:4" x14ac:dyDescent="0.35">
      <c r="A388" s="2">
        <v>10369</v>
      </c>
      <c r="B388" t="str">
        <f>_xlfn.XLOOKUP(A388,'Tabel Referensi'!$A$2:$A$601,'Tabel Referensi'!$B$2:$B$601)</f>
        <v>Joko Wijaya</v>
      </c>
      <c r="C388" t="str">
        <f>_xlfn.XLOOKUP(A388,'Tabel Referensi'!$A$2:$A$601,'Tabel Referensi'!$C$2:$C$601)</f>
        <v>088695814671</v>
      </c>
      <c r="D388" t="str">
        <f>_xlfn.XLOOKUP(A388,'Tabel Referensi'!$A$2:$A$601,'Tabel Referensi'!$D$2:$D$601)</f>
        <v>Makassar</v>
      </c>
    </row>
    <row r="389" spans="1:4" x14ac:dyDescent="0.35">
      <c r="A389" s="2">
        <v>10522</v>
      </c>
      <c r="B389" t="str">
        <f>_xlfn.XLOOKUP(A389,'Tabel Referensi'!$A$2:$A$601,'Tabel Referensi'!$B$2:$B$601)</f>
        <v>Bella Gunawan</v>
      </c>
      <c r="C389" t="str">
        <f>_xlfn.XLOOKUP(A389,'Tabel Referensi'!$A$2:$A$601,'Tabel Referensi'!$C$2:$C$601)</f>
        <v>088545897148</v>
      </c>
      <c r="D389" t="str">
        <f>_xlfn.XLOOKUP(A389,'Tabel Referensi'!$A$2:$A$601,'Tabel Referensi'!$D$2:$D$601)</f>
        <v>Palembang</v>
      </c>
    </row>
    <row r="390" spans="1:4" x14ac:dyDescent="0.35">
      <c r="A390" s="2">
        <v>10540</v>
      </c>
      <c r="B390" t="str">
        <f>_xlfn.XLOOKUP(A390,'Tabel Referensi'!$A$2:$A$601,'Tabel Referensi'!$B$2:$B$601)</f>
        <v>Yani Halim</v>
      </c>
      <c r="C390" t="str">
        <f>_xlfn.XLOOKUP(A390,'Tabel Referensi'!$A$2:$A$601,'Tabel Referensi'!$C$2:$C$601)</f>
        <v>088908197400</v>
      </c>
      <c r="D390" t="str">
        <f>_xlfn.XLOOKUP(A390,'Tabel Referensi'!$A$2:$A$601,'Tabel Referensi'!$D$2:$D$601)</f>
        <v>Surabaya</v>
      </c>
    </row>
    <row r="391" spans="1:4" x14ac:dyDescent="0.35">
      <c r="A391" s="2">
        <v>10169</v>
      </c>
      <c r="B391" t="str">
        <f>_xlfn.XLOOKUP(A391,'Tabel Referensi'!$A$2:$A$601,'Tabel Referensi'!$B$2:$B$601)</f>
        <v>Fajar Setiawan</v>
      </c>
      <c r="C391" t="str">
        <f>_xlfn.XLOOKUP(A391,'Tabel Referensi'!$A$2:$A$601,'Tabel Referensi'!$C$2:$C$601)</f>
        <v>088450544471</v>
      </c>
      <c r="D391" t="str">
        <f>_xlfn.XLOOKUP(A391,'Tabel Referensi'!$A$2:$A$601,'Tabel Referensi'!$D$2:$D$601)</f>
        <v>Surabaya</v>
      </c>
    </row>
    <row r="392" spans="1:4" x14ac:dyDescent="0.35">
      <c r="A392" s="2">
        <v>10435</v>
      </c>
      <c r="B392" t="str">
        <f>_xlfn.XLOOKUP(A392,'Tabel Referensi'!$A$2:$A$601,'Tabel Referensi'!$B$2:$B$601)</f>
        <v>Andi Wijaya</v>
      </c>
      <c r="C392" t="str">
        <f>_xlfn.XLOOKUP(A392,'Tabel Referensi'!$A$2:$A$601,'Tabel Referensi'!$C$2:$C$601)</f>
        <v>088477596555</v>
      </c>
      <c r="D392" t="str">
        <f>_xlfn.XLOOKUP(A392,'Tabel Referensi'!$A$2:$A$601,'Tabel Referensi'!$D$2:$D$601)</f>
        <v>Medan</v>
      </c>
    </row>
    <row r="393" spans="1:4" x14ac:dyDescent="0.35">
      <c r="A393" s="2">
        <v>10411</v>
      </c>
      <c r="B393" t="str">
        <f>_xlfn.XLOOKUP(A393,'Tabel Referensi'!$A$2:$A$601,'Tabel Referensi'!$B$2:$B$601)</f>
        <v>Hadi Hidayat</v>
      </c>
      <c r="C393" t="str">
        <f>_xlfn.XLOOKUP(A393,'Tabel Referensi'!$A$2:$A$601,'Tabel Referensi'!$C$2:$C$601)</f>
        <v>08663778052</v>
      </c>
      <c r="D393" t="str">
        <f>_xlfn.XLOOKUP(A393,'Tabel Referensi'!$A$2:$A$601,'Tabel Referensi'!$D$2:$D$601)</f>
        <v>Bandung</v>
      </c>
    </row>
    <row r="394" spans="1:4" x14ac:dyDescent="0.35">
      <c r="A394" s="2">
        <v>10056</v>
      </c>
      <c r="B394" t="str">
        <f>_xlfn.XLOOKUP(A394,'Tabel Referensi'!$A$2:$A$601,'Tabel Referensi'!$B$2:$B$601)</f>
        <v>Indah Wijaya</v>
      </c>
      <c r="C394" t="str">
        <f>_xlfn.XLOOKUP(A394,'Tabel Referensi'!$A$2:$A$601,'Tabel Referensi'!$C$2:$C$601)</f>
        <v>088839084700</v>
      </c>
      <c r="D394" t="str">
        <f>_xlfn.XLOOKUP(A394,'Tabel Referensi'!$A$2:$A$601,'Tabel Referensi'!$D$2:$D$601)</f>
        <v>Makassar</v>
      </c>
    </row>
    <row r="395" spans="1:4" x14ac:dyDescent="0.35">
      <c r="A395" s="2">
        <v>10328</v>
      </c>
      <c r="B395" t="str">
        <f>_xlfn.XLOOKUP(A395,'Tabel Referensi'!$A$2:$A$601,'Tabel Referensi'!$B$2:$B$601)</f>
        <v>Ahmad Santoso</v>
      </c>
      <c r="C395" t="str">
        <f>_xlfn.XLOOKUP(A395,'Tabel Referensi'!$A$2:$A$601,'Tabel Referensi'!$C$2:$C$601)</f>
        <v>088028457652</v>
      </c>
      <c r="D395" t="str">
        <f>_xlfn.XLOOKUP(A395,'Tabel Referensi'!$A$2:$A$601,'Tabel Referensi'!$D$2:$D$601)</f>
        <v>Yogyakarta</v>
      </c>
    </row>
    <row r="396" spans="1:4" x14ac:dyDescent="0.35">
      <c r="A396" s="2">
        <v>10256</v>
      </c>
      <c r="B396" t="str">
        <f>_xlfn.XLOOKUP(A396,'Tabel Referensi'!$A$2:$A$601,'Tabel Referensi'!$B$2:$B$601)</f>
        <v>Umi Saputra</v>
      </c>
      <c r="C396" t="str">
        <f>_xlfn.XLOOKUP(A396,'Tabel Referensi'!$A$2:$A$601,'Tabel Referensi'!$C$2:$C$601)</f>
        <v>088521103924</v>
      </c>
      <c r="D396" t="str">
        <f>_xlfn.XLOOKUP(A396,'Tabel Referensi'!$A$2:$A$601,'Tabel Referensi'!$D$2:$D$601)</f>
        <v>Surabaya</v>
      </c>
    </row>
    <row r="397" spans="1:4" x14ac:dyDescent="0.35">
      <c r="A397" s="2">
        <v>10500</v>
      </c>
      <c r="B397" t="str">
        <f>_xlfn.XLOOKUP(A397,'Tabel Referensi'!$A$2:$A$601,'Tabel Referensi'!$B$2:$B$601)</f>
        <v>Umi Siregar</v>
      </c>
      <c r="C397" t="str">
        <f>_xlfn.XLOOKUP(A397,'Tabel Referensi'!$A$2:$A$601,'Tabel Referensi'!$C$2:$C$601)</f>
        <v>088128196482</v>
      </c>
      <c r="D397" t="str">
        <f>_xlfn.XLOOKUP(A397,'Tabel Referensi'!$A$2:$A$601,'Tabel Referensi'!$D$2:$D$601)</f>
        <v>Malang</v>
      </c>
    </row>
    <row r="398" spans="1:4" x14ac:dyDescent="0.35">
      <c r="A398" s="2">
        <v>10407</v>
      </c>
      <c r="B398" t="str">
        <f>_xlfn.XLOOKUP(A398,'Tabel Referensi'!$A$2:$A$601,'Tabel Referensi'!$B$2:$B$601)</f>
        <v>Kiki Halim</v>
      </c>
      <c r="C398" t="str">
        <f>_xlfn.XLOOKUP(A398,'Tabel Referensi'!$A$2:$A$601,'Tabel Referensi'!$C$2:$C$601)</f>
        <v>088373634669</v>
      </c>
      <c r="D398" t="str">
        <f>_xlfn.XLOOKUP(A398,'Tabel Referensi'!$A$2:$A$601,'Tabel Referensi'!$D$2:$D$601)</f>
        <v>Palembang</v>
      </c>
    </row>
    <row r="399" spans="1:4" x14ac:dyDescent="0.35">
      <c r="A399" s="2">
        <v>10123</v>
      </c>
      <c r="B399" t="str">
        <f>_xlfn.XLOOKUP(A399,'Tabel Referensi'!$A$2:$A$601,'Tabel Referensi'!$B$2:$B$601)</f>
        <v>Chandra Siregar</v>
      </c>
      <c r="C399" t="str">
        <f>_xlfn.XLOOKUP(A399,'Tabel Referensi'!$A$2:$A$601,'Tabel Referensi'!$C$2:$C$601)</f>
        <v>088265479356</v>
      </c>
      <c r="D399" t="str">
        <f>_xlfn.XLOOKUP(A399,'Tabel Referensi'!$A$2:$A$601,'Tabel Referensi'!$D$2:$D$601)</f>
        <v>Palembang</v>
      </c>
    </row>
    <row r="400" spans="1:4" x14ac:dyDescent="0.35">
      <c r="A400" s="2">
        <v>10227</v>
      </c>
      <c r="B400" t="str">
        <f>_xlfn.XLOOKUP(A400,'Tabel Referensi'!$A$2:$A$601,'Tabel Referensi'!$B$2:$B$601)</f>
        <v>Dewi Kusuma</v>
      </c>
      <c r="C400" t="str">
        <f>_xlfn.XLOOKUP(A400,'Tabel Referensi'!$A$2:$A$601,'Tabel Referensi'!$C$2:$C$601)</f>
        <v>088947284639</v>
      </c>
      <c r="D400" t="str">
        <f>_xlfn.XLOOKUP(A400,'Tabel Referensi'!$A$2:$A$601,'Tabel Referensi'!$D$2:$D$601)</f>
        <v>Malang</v>
      </c>
    </row>
    <row r="401" spans="1:4" x14ac:dyDescent="0.35">
      <c r="A401" s="2">
        <v>10308</v>
      </c>
      <c r="B401" t="str">
        <f>_xlfn.XLOOKUP(A401,'Tabel Referensi'!$A$2:$A$601,'Tabel Referensi'!$B$2:$B$601)</f>
        <v>Budi Halim</v>
      </c>
      <c r="C401" t="str">
        <f>_xlfn.XLOOKUP(A401,'Tabel Referensi'!$A$2:$A$601,'Tabel Referensi'!$C$2:$C$601)</f>
        <v>08220781137</v>
      </c>
      <c r="D401" t="str">
        <f>_xlfn.XLOOKUP(A401,'Tabel Referensi'!$A$2:$A$601,'Tabel Referensi'!$D$2:$D$601)</f>
        <v>Bandung</v>
      </c>
    </row>
    <row r="402" spans="1:4" x14ac:dyDescent="0.35">
      <c r="A402" s="2">
        <v>10458</v>
      </c>
      <c r="B402" t="str">
        <f>_xlfn.XLOOKUP(A402,'Tabel Referensi'!$A$2:$A$601,'Tabel Referensi'!$B$2:$B$601)</f>
        <v>Zaki Siregar</v>
      </c>
      <c r="C402" t="str">
        <f>_xlfn.XLOOKUP(A402,'Tabel Referensi'!$A$2:$A$601,'Tabel Referensi'!$C$2:$C$601)</f>
        <v/>
      </c>
      <c r="D402" t="str">
        <f>_xlfn.XLOOKUP(A402,'Tabel Referensi'!$A$2:$A$601,'Tabel Referensi'!$D$2:$D$601)</f>
        <v>Semarang</v>
      </c>
    </row>
    <row r="403" spans="1:4" x14ac:dyDescent="0.35">
      <c r="A403" s="2">
        <v>10125</v>
      </c>
      <c r="B403" t="str">
        <f>_xlfn.XLOOKUP(A403,'Tabel Referensi'!$A$2:$A$601,'Tabel Referensi'!$B$2:$B$601)</f>
        <v>Oki Nasution</v>
      </c>
      <c r="C403" t="str">
        <f>_xlfn.XLOOKUP(A403,'Tabel Referensi'!$A$2:$A$601,'Tabel Referensi'!$C$2:$C$601)</f>
        <v>088113529096</v>
      </c>
      <c r="D403" t="str">
        <f>_xlfn.XLOOKUP(A403,'Tabel Referensi'!$A$2:$A$601,'Tabel Referensi'!$D$2:$D$601)</f>
        <v>Makassar</v>
      </c>
    </row>
    <row r="404" spans="1:4" x14ac:dyDescent="0.35">
      <c r="A404" s="2">
        <v>10235</v>
      </c>
      <c r="B404" t="str">
        <f>_xlfn.XLOOKUP(A404,'Tabel Referensi'!$A$2:$A$601,'Tabel Referensi'!$B$2:$B$601)</f>
        <v>Rian Kusuma</v>
      </c>
      <c r="C404" t="str">
        <f>_xlfn.XLOOKUP(A404,'Tabel Referensi'!$A$2:$A$601,'Tabel Referensi'!$C$2:$C$601)</f>
        <v>088228200557</v>
      </c>
      <c r="D404" t="str">
        <f>_xlfn.XLOOKUP(A404,'Tabel Referensi'!$A$2:$A$601,'Tabel Referensi'!$D$2:$D$601)</f>
        <v>Semarang</v>
      </c>
    </row>
    <row r="405" spans="1:4" x14ac:dyDescent="0.35">
      <c r="A405" s="2">
        <v>10236</v>
      </c>
      <c r="B405" t="str">
        <f>_xlfn.XLOOKUP(A405,'Tabel Referensi'!$A$2:$A$601,'Tabel Referensi'!$B$2:$B$601)</f>
        <v>Fitri Setiawan</v>
      </c>
      <c r="C405" t="str">
        <f>_xlfn.XLOOKUP(A405,'Tabel Referensi'!$A$2:$A$601,'Tabel Referensi'!$C$2:$C$601)</f>
        <v>088845783174</v>
      </c>
      <c r="D405" t="str">
        <f>_xlfn.XLOOKUP(A405,'Tabel Referensi'!$A$2:$A$601,'Tabel Referensi'!$D$2:$D$601)</f>
        <v>Palembang</v>
      </c>
    </row>
    <row r="406" spans="1:4" x14ac:dyDescent="0.35">
      <c r="A406" s="2">
        <v>10295</v>
      </c>
      <c r="B406" t="str">
        <f>_xlfn.XLOOKUP(A406,'Tabel Referensi'!$A$2:$A$601,'Tabel Referensi'!$B$2:$B$601)</f>
        <v>Ahmad Hidayat</v>
      </c>
      <c r="C406" t="str">
        <f>_xlfn.XLOOKUP(A406,'Tabel Referensi'!$A$2:$A$601,'Tabel Referensi'!$C$2:$C$601)</f>
        <v/>
      </c>
      <c r="D406" t="str">
        <f>_xlfn.XLOOKUP(A406,'Tabel Referensi'!$A$2:$A$601,'Tabel Referensi'!$D$2:$D$601)</f>
        <v>Yogyakarta</v>
      </c>
    </row>
    <row r="407" spans="1:4" x14ac:dyDescent="0.35">
      <c r="A407" s="2">
        <v>10105</v>
      </c>
      <c r="B407" t="str">
        <f>_xlfn.XLOOKUP(A407,'Tabel Referensi'!$A$2:$A$601,'Tabel Referensi'!$B$2:$B$601)</f>
        <v>Citra Wijaya</v>
      </c>
      <c r="C407" t="str">
        <f>_xlfn.XLOOKUP(A407,'Tabel Referensi'!$A$2:$A$601,'Tabel Referensi'!$C$2:$C$601)</f>
        <v>088265676618</v>
      </c>
      <c r="D407" t="str">
        <f>_xlfn.XLOOKUP(A407,'Tabel Referensi'!$A$2:$A$601,'Tabel Referensi'!$D$2:$D$601)</f>
        <v>Yogyakarta</v>
      </c>
    </row>
    <row r="408" spans="1:4" x14ac:dyDescent="0.35">
      <c r="A408" s="2">
        <v>10015</v>
      </c>
      <c r="B408" t="str">
        <f>_xlfn.XLOOKUP(A408,'Tabel Referensi'!$A$2:$A$601,'Tabel Referensi'!$B$2:$B$601)</f>
        <v>Zaki Lestari</v>
      </c>
      <c r="C408" t="str">
        <f>_xlfn.XLOOKUP(A408,'Tabel Referensi'!$A$2:$A$601,'Tabel Referensi'!$C$2:$C$601)</f>
        <v>088016400524</v>
      </c>
      <c r="D408" t="str">
        <f>_xlfn.XLOOKUP(A408,'Tabel Referensi'!$A$2:$A$601,'Tabel Referensi'!$D$2:$D$601)</f>
        <v>Semarang</v>
      </c>
    </row>
    <row r="409" spans="1:4" x14ac:dyDescent="0.35">
      <c r="A409" s="2">
        <v>10558</v>
      </c>
      <c r="B409" t="str">
        <f>_xlfn.XLOOKUP(A409,'Tabel Referensi'!$A$2:$A$601,'Tabel Referensi'!$B$2:$B$601)</f>
        <v>Eka Wijaya</v>
      </c>
      <c r="C409" t="str">
        <f>_xlfn.XLOOKUP(A409,'Tabel Referensi'!$A$2:$A$601,'Tabel Referensi'!$C$2:$C$601)</f>
        <v>08683415599</v>
      </c>
      <c r="D409" t="str">
        <f>_xlfn.XLOOKUP(A409,'Tabel Referensi'!$A$2:$A$601,'Tabel Referensi'!$D$2:$D$601)</f>
        <v>Medan</v>
      </c>
    </row>
    <row r="410" spans="1:4" x14ac:dyDescent="0.35">
      <c r="A410" s="2">
        <v>10067</v>
      </c>
      <c r="B410" t="str">
        <f>_xlfn.XLOOKUP(A410,'Tabel Referensi'!$A$2:$A$601,'Tabel Referensi'!$B$2:$B$601)</f>
        <v>Vina Rahayu</v>
      </c>
      <c r="C410" t="str">
        <f>_xlfn.XLOOKUP(A410,'Tabel Referensi'!$A$2:$A$601,'Tabel Referensi'!$C$2:$C$601)</f>
        <v/>
      </c>
      <c r="D410" t="str">
        <f>_xlfn.XLOOKUP(A410,'Tabel Referensi'!$A$2:$A$601,'Tabel Referensi'!$D$2:$D$601)</f>
        <v>Malang</v>
      </c>
    </row>
    <row r="411" spans="1:4" x14ac:dyDescent="0.35">
      <c r="A411" s="2">
        <v>10165</v>
      </c>
      <c r="B411" t="str">
        <f>_xlfn.XLOOKUP(A411,'Tabel Referensi'!$A$2:$A$601,'Tabel Referensi'!$B$2:$B$601)</f>
        <v>Made Santoso</v>
      </c>
      <c r="C411" t="str">
        <f>_xlfn.XLOOKUP(A411,'Tabel Referensi'!$A$2:$A$601,'Tabel Referensi'!$C$2:$C$601)</f>
        <v>08490211586</v>
      </c>
      <c r="D411" t="str">
        <f>_xlfn.XLOOKUP(A411,'Tabel Referensi'!$A$2:$A$601,'Tabel Referensi'!$D$2:$D$601)</f>
        <v>Makassar</v>
      </c>
    </row>
    <row r="412" spans="1:4" x14ac:dyDescent="0.35">
      <c r="A412" s="2">
        <v>10102</v>
      </c>
      <c r="B412" t="str">
        <f>_xlfn.XLOOKUP(A412,'Tabel Referensi'!$A$2:$A$601,'Tabel Referensi'!$B$2:$B$601)</f>
        <v>Indah Halim</v>
      </c>
      <c r="C412" t="str">
        <f>_xlfn.XLOOKUP(A412,'Tabel Referensi'!$A$2:$A$601,'Tabel Referensi'!$C$2:$C$601)</f>
        <v>08459332727</v>
      </c>
      <c r="D412" t="str">
        <f>_xlfn.XLOOKUP(A412,'Tabel Referensi'!$A$2:$A$601,'Tabel Referensi'!$D$2:$D$601)</f>
        <v>Medan</v>
      </c>
    </row>
    <row r="413" spans="1:4" x14ac:dyDescent="0.35">
      <c r="A413" s="2">
        <v>10364</v>
      </c>
      <c r="B413" t="str">
        <f>_xlfn.XLOOKUP(A413,'Tabel Referensi'!$A$2:$A$601,'Tabel Referensi'!$B$2:$B$601)</f>
        <v>Fitri Nasution</v>
      </c>
      <c r="C413" t="str">
        <f>_xlfn.XLOOKUP(A413,'Tabel Referensi'!$A$2:$A$601,'Tabel Referensi'!$C$2:$C$601)</f>
        <v>088081866179</v>
      </c>
      <c r="D413" t="str">
        <f>_xlfn.XLOOKUP(A413,'Tabel Referensi'!$A$2:$A$601,'Tabel Referensi'!$D$2:$D$601)</f>
        <v>Surabaya</v>
      </c>
    </row>
    <row r="414" spans="1:4" x14ac:dyDescent="0.35">
      <c r="A414" s="2">
        <v>10459</v>
      </c>
      <c r="B414" t="str">
        <f>_xlfn.XLOOKUP(A414,'Tabel Referensi'!$A$2:$A$601,'Tabel Referensi'!$B$2:$B$601)</f>
        <v>Kiki Rahayu</v>
      </c>
      <c r="C414" t="str">
        <f>_xlfn.XLOOKUP(A414,'Tabel Referensi'!$A$2:$A$601,'Tabel Referensi'!$C$2:$C$601)</f>
        <v>088188261702</v>
      </c>
      <c r="D414" t="str">
        <f>_xlfn.XLOOKUP(A414,'Tabel Referensi'!$A$2:$A$601,'Tabel Referensi'!$D$2:$D$601)</f>
        <v>Jakarta</v>
      </c>
    </row>
    <row r="415" spans="1:4" x14ac:dyDescent="0.35">
      <c r="A415" s="2">
        <v>10089</v>
      </c>
      <c r="B415" t="str">
        <f>_xlfn.XLOOKUP(A415,'Tabel Referensi'!$A$2:$A$601,'Tabel Referensi'!$B$2:$B$601)</f>
        <v>Fajar Simatupang</v>
      </c>
      <c r="C415" t="str">
        <f>_xlfn.XLOOKUP(A415,'Tabel Referensi'!$A$2:$A$601,'Tabel Referensi'!$C$2:$C$601)</f>
        <v>088258815371</v>
      </c>
      <c r="D415" t="str">
        <f>_xlfn.XLOOKUP(A415,'Tabel Referensi'!$A$2:$A$601,'Tabel Referensi'!$D$2:$D$601)</f>
        <v>Palembang</v>
      </c>
    </row>
    <row r="416" spans="1:4" x14ac:dyDescent="0.35">
      <c r="A416" s="2">
        <v>10122</v>
      </c>
      <c r="B416" t="str">
        <f>_xlfn.XLOOKUP(A416,'Tabel Referensi'!$A$2:$A$601,'Tabel Referensi'!$B$2:$B$601)</f>
        <v>Eka Kusuma</v>
      </c>
      <c r="C416" t="str">
        <f>_xlfn.XLOOKUP(A416,'Tabel Referensi'!$A$2:$A$601,'Tabel Referensi'!$C$2:$C$601)</f>
        <v>088799371240</v>
      </c>
      <c r="D416" t="str">
        <f>_xlfn.XLOOKUP(A416,'Tabel Referensi'!$A$2:$A$601,'Tabel Referensi'!$D$2:$D$601)</f>
        <v>Makassar</v>
      </c>
    </row>
    <row r="417" spans="1:4" x14ac:dyDescent="0.35">
      <c r="A417" s="2">
        <v>10370</v>
      </c>
      <c r="B417" t="str">
        <f>_xlfn.XLOOKUP(A417,'Tabel Referensi'!$A$2:$A$601,'Tabel Referensi'!$B$2:$B$601)</f>
        <v>Vina Halim</v>
      </c>
      <c r="C417" t="str">
        <f>_xlfn.XLOOKUP(A417,'Tabel Referensi'!$A$2:$A$601,'Tabel Referensi'!$C$2:$C$601)</f>
        <v>088959724665</v>
      </c>
      <c r="D417" t="str">
        <f>_xlfn.XLOOKUP(A417,'Tabel Referensi'!$A$2:$A$601,'Tabel Referensi'!$D$2:$D$601)</f>
        <v>Makassar</v>
      </c>
    </row>
    <row r="418" spans="1:4" x14ac:dyDescent="0.35">
      <c r="A418" s="2">
        <v>10234</v>
      </c>
      <c r="B418" t="str">
        <f>_xlfn.XLOOKUP(A418,'Tabel Referensi'!$A$2:$A$601,'Tabel Referensi'!$B$2:$B$601)</f>
        <v>Eka Nugroho</v>
      </c>
      <c r="C418" t="str">
        <f>_xlfn.XLOOKUP(A418,'Tabel Referensi'!$A$2:$A$601,'Tabel Referensi'!$C$2:$C$601)</f>
        <v/>
      </c>
      <c r="D418" t="str">
        <f>_xlfn.XLOOKUP(A418,'Tabel Referensi'!$A$2:$A$601,'Tabel Referensi'!$D$2:$D$601)</f>
        <v>Jakarta</v>
      </c>
    </row>
    <row r="419" spans="1:4" x14ac:dyDescent="0.35">
      <c r="A419" s="2">
        <v>10082</v>
      </c>
      <c r="B419" t="str">
        <f>_xlfn.XLOOKUP(A419,'Tabel Referensi'!$A$2:$A$601,'Tabel Referensi'!$B$2:$B$601)</f>
        <v>Eka Simatupang</v>
      </c>
      <c r="C419" t="str">
        <f>_xlfn.XLOOKUP(A419,'Tabel Referensi'!$A$2:$A$601,'Tabel Referensi'!$C$2:$C$601)</f>
        <v>088755719285</v>
      </c>
      <c r="D419" t="str">
        <f>_xlfn.XLOOKUP(A419,'Tabel Referensi'!$A$2:$A$601,'Tabel Referensi'!$D$2:$D$601)</f>
        <v>Surabaya</v>
      </c>
    </row>
    <row r="420" spans="1:4" x14ac:dyDescent="0.35">
      <c r="A420" s="2">
        <v>10098</v>
      </c>
      <c r="B420" t="str">
        <f>_xlfn.XLOOKUP(A420,'Tabel Referensi'!$A$2:$A$601,'Tabel Referensi'!$B$2:$B$601)</f>
        <v>Yani Setiawan</v>
      </c>
      <c r="C420" t="str">
        <f>_xlfn.XLOOKUP(A420,'Tabel Referensi'!$A$2:$A$601,'Tabel Referensi'!$C$2:$C$601)</f>
        <v>088016571208</v>
      </c>
      <c r="D420" t="str">
        <f>_xlfn.XLOOKUP(A420,'Tabel Referensi'!$A$2:$A$601,'Tabel Referensi'!$D$2:$D$601)</f>
        <v>Jakarta</v>
      </c>
    </row>
    <row r="421" spans="1:4" x14ac:dyDescent="0.35">
      <c r="A421" s="2">
        <v>10442</v>
      </c>
      <c r="B421" t="str">
        <f>_xlfn.XLOOKUP(A421,'Tabel Referensi'!$A$2:$A$601,'Tabel Referensi'!$B$2:$B$601)</f>
        <v>Chandra Nugroho</v>
      </c>
      <c r="C421" t="str">
        <f>_xlfn.XLOOKUP(A421,'Tabel Referensi'!$A$2:$A$601,'Tabel Referensi'!$C$2:$C$601)</f>
        <v>088814973746</v>
      </c>
      <c r="D421" t="str">
        <f>_xlfn.XLOOKUP(A421,'Tabel Referensi'!$A$2:$A$601,'Tabel Referensi'!$D$2:$D$601)</f>
        <v>Palembang</v>
      </c>
    </row>
    <row r="422" spans="1:4" x14ac:dyDescent="0.35">
      <c r="A422" s="2">
        <v>10560</v>
      </c>
      <c r="B422" t="str">
        <f>_xlfn.XLOOKUP(A422,'Tabel Referensi'!$A$2:$A$601,'Tabel Referensi'!$B$2:$B$601)</f>
        <v>Oki Santoso</v>
      </c>
      <c r="C422" t="str">
        <f>_xlfn.XLOOKUP(A422,'Tabel Referensi'!$A$2:$A$601,'Tabel Referensi'!$C$2:$C$601)</f>
        <v>088898645652</v>
      </c>
      <c r="D422" t="str">
        <f>_xlfn.XLOOKUP(A422,'Tabel Referensi'!$A$2:$A$601,'Tabel Referensi'!$D$2:$D$601)</f>
        <v>Malang</v>
      </c>
    </row>
    <row r="423" spans="1:4" x14ac:dyDescent="0.35">
      <c r="A423" s="2">
        <v>10282</v>
      </c>
      <c r="B423" t="str">
        <f>_xlfn.XLOOKUP(A423,'Tabel Referensi'!$A$2:$A$601,'Tabel Referensi'!$B$2:$B$601)</f>
        <v>Joko Halim</v>
      </c>
      <c r="C423" t="str">
        <f>_xlfn.XLOOKUP(A423,'Tabel Referensi'!$A$2:$A$601,'Tabel Referensi'!$C$2:$C$601)</f>
        <v>088876963938</v>
      </c>
      <c r="D423" t="str">
        <f>_xlfn.XLOOKUP(A423,'Tabel Referensi'!$A$2:$A$601,'Tabel Referensi'!$D$2:$D$601)</f>
        <v>Malang</v>
      </c>
    </row>
    <row r="424" spans="1:4" x14ac:dyDescent="0.35">
      <c r="A424" s="2">
        <v>10199</v>
      </c>
      <c r="B424" t="str">
        <f>_xlfn.XLOOKUP(A424,'Tabel Referensi'!$A$2:$A$601,'Tabel Referensi'!$B$2:$B$601)</f>
        <v>Lina Kusuma</v>
      </c>
      <c r="C424" t="str">
        <f>_xlfn.XLOOKUP(A424,'Tabel Referensi'!$A$2:$A$601,'Tabel Referensi'!$C$2:$C$601)</f>
        <v>08153355543</v>
      </c>
      <c r="D424" t="str">
        <f>_xlfn.XLOOKUP(A424,'Tabel Referensi'!$A$2:$A$601,'Tabel Referensi'!$D$2:$D$601)</f>
        <v>Denpasar</v>
      </c>
    </row>
    <row r="425" spans="1:4" x14ac:dyDescent="0.35">
      <c r="A425" s="2">
        <v>10404</v>
      </c>
      <c r="B425" t="str">
        <f>_xlfn.XLOOKUP(A425,'Tabel Referensi'!$A$2:$A$601,'Tabel Referensi'!$B$2:$B$601)</f>
        <v>Fajar Nugroho</v>
      </c>
      <c r="C425" t="str">
        <f>_xlfn.XLOOKUP(A425,'Tabel Referensi'!$A$2:$A$601,'Tabel Referensi'!$C$2:$C$601)</f>
        <v>088026153473</v>
      </c>
      <c r="D425" t="str">
        <f>_xlfn.XLOOKUP(A425,'Tabel Referensi'!$A$2:$A$601,'Tabel Referensi'!$D$2:$D$601)</f>
        <v>Surabaya</v>
      </c>
    </row>
    <row r="426" spans="1:4" x14ac:dyDescent="0.35">
      <c r="A426" s="2">
        <v>10452</v>
      </c>
      <c r="B426" t="str">
        <f>_xlfn.XLOOKUP(A426,'Tabel Referensi'!$A$2:$A$601,'Tabel Referensi'!$B$2:$B$601)</f>
        <v>Dewi Marpaung</v>
      </c>
      <c r="C426" t="str">
        <f>_xlfn.XLOOKUP(A426,'Tabel Referensi'!$A$2:$A$601,'Tabel Referensi'!$C$2:$C$601)</f>
        <v/>
      </c>
      <c r="D426" t="str">
        <f>_xlfn.XLOOKUP(A426,'Tabel Referensi'!$A$2:$A$601,'Tabel Referensi'!$D$2:$D$601)</f>
        <v>Yogyakarta</v>
      </c>
    </row>
    <row r="427" spans="1:4" x14ac:dyDescent="0.35">
      <c r="A427" s="2">
        <v>10307</v>
      </c>
      <c r="B427" t="str">
        <f>_xlfn.XLOOKUP(A427,'Tabel Referensi'!$A$2:$A$601,'Tabel Referensi'!$B$2:$B$601)</f>
        <v>Nita Saputra</v>
      </c>
      <c r="C427" t="str">
        <f>_xlfn.XLOOKUP(A427,'Tabel Referensi'!$A$2:$A$601,'Tabel Referensi'!$C$2:$C$601)</f>
        <v>088340312772</v>
      </c>
      <c r="D427" t="str">
        <f>_xlfn.XLOOKUP(A427,'Tabel Referensi'!$A$2:$A$601,'Tabel Referensi'!$D$2:$D$601)</f>
        <v>Bandung</v>
      </c>
    </row>
    <row r="428" spans="1:4" x14ac:dyDescent="0.35">
      <c r="A428" s="2">
        <v>10380</v>
      </c>
      <c r="B428" t="str">
        <f>_xlfn.XLOOKUP(A428,'Tabel Referensi'!$A$2:$A$601,'Tabel Referensi'!$B$2:$B$601)</f>
        <v>Citra Halim</v>
      </c>
      <c r="C428" t="str">
        <f>_xlfn.XLOOKUP(A428,'Tabel Referensi'!$A$2:$A$601,'Tabel Referensi'!$C$2:$C$601)</f>
        <v>08762282772</v>
      </c>
      <c r="D428" t="str">
        <f>_xlfn.XLOOKUP(A428,'Tabel Referensi'!$A$2:$A$601,'Tabel Referensi'!$D$2:$D$601)</f>
        <v>Makassar</v>
      </c>
    </row>
    <row r="429" spans="1:4" x14ac:dyDescent="0.35">
      <c r="A429" s="2">
        <v>10466</v>
      </c>
      <c r="B429" t="str">
        <f>_xlfn.XLOOKUP(A429,'Tabel Referensi'!$A$2:$A$601,'Tabel Referensi'!$B$2:$B$601)</f>
        <v>Lina Halim</v>
      </c>
      <c r="C429" t="str">
        <f>_xlfn.XLOOKUP(A429,'Tabel Referensi'!$A$2:$A$601,'Tabel Referensi'!$C$2:$C$601)</f>
        <v>088291093371</v>
      </c>
      <c r="D429" t="str">
        <f>_xlfn.XLOOKUP(A429,'Tabel Referensi'!$A$2:$A$601,'Tabel Referensi'!$D$2:$D$601)</f>
        <v>Denpasar</v>
      </c>
    </row>
    <row r="430" spans="1:4" x14ac:dyDescent="0.35">
      <c r="A430" s="2">
        <v>10189</v>
      </c>
      <c r="B430" t="str">
        <f>_xlfn.XLOOKUP(A430,'Tabel Referensi'!$A$2:$A$601,'Tabel Referensi'!$B$2:$B$601)</f>
        <v>Kiki Nugroho</v>
      </c>
      <c r="C430" t="str">
        <f>_xlfn.XLOOKUP(A430,'Tabel Referensi'!$A$2:$A$601,'Tabel Referensi'!$C$2:$C$601)</f>
        <v/>
      </c>
      <c r="D430" t="str">
        <f>_xlfn.XLOOKUP(A430,'Tabel Referensi'!$A$2:$A$601,'Tabel Referensi'!$D$2:$D$601)</f>
        <v>Semarang</v>
      </c>
    </row>
    <row r="431" spans="1:4" x14ac:dyDescent="0.35">
      <c r="A431" s="2">
        <v>10350</v>
      </c>
      <c r="B431" t="str">
        <f>_xlfn.XLOOKUP(A431,'Tabel Referensi'!$A$2:$A$601,'Tabel Referensi'!$B$2:$B$601)</f>
        <v>Andi Siregar</v>
      </c>
      <c r="C431" t="str">
        <f>_xlfn.XLOOKUP(A431,'Tabel Referensi'!$A$2:$A$601,'Tabel Referensi'!$C$2:$C$601)</f>
        <v>088417765612</v>
      </c>
      <c r="D431" t="str">
        <f>_xlfn.XLOOKUP(A431,'Tabel Referensi'!$A$2:$A$601,'Tabel Referensi'!$D$2:$D$601)</f>
        <v>Semarang</v>
      </c>
    </row>
    <row r="432" spans="1:4" x14ac:dyDescent="0.35">
      <c r="A432" s="2">
        <v>10241</v>
      </c>
      <c r="B432" t="str">
        <f>_xlfn.XLOOKUP(A432,'Tabel Referensi'!$A$2:$A$601,'Tabel Referensi'!$B$2:$B$601)</f>
        <v>Chandra Saputra</v>
      </c>
      <c r="C432" t="str">
        <f>_xlfn.XLOOKUP(A432,'Tabel Referensi'!$A$2:$A$601,'Tabel Referensi'!$C$2:$C$601)</f>
        <v>088376452088</v>
      </c>
      <c r="D432" t="str">
        <f>_xlfn.XLOOKUP(A432,'Tabel Referensi'!$A$2:$A$601,'Tabel Referensi'!$D$2:$D$601)</f>
        <v>Bandung</v>
      </c>
    </row>
    <row r="433" spans="1:4" x14ac:dyDescent="0.35">
      <c r="A433" s="2">
        <v>10320</v>
      </c>
      <c r="B433" t="str">
        <f>_xlfn.XLOOKUP(A433,'Tabel Referensi'!$A$2:$A$601,'Tabel Referensi'!$B$2:$B$601)</f>
        <v>Wawan Gunawan</v>
      </c>
      <c r="C433" t="str">
        <f>_xlfn.XLOOKUP(A433,'Tabel Referensi'!$A$2:$A$601,'Tabel Referensi'!$C$2:$C$601)</f>
        <v>088727520885</v>
      </c>
      <c r="D433" t="str">
        <f>_xlfn.XLOOKUP(A433,'Tabel Referensi'!$A$2:$A$601,'Tabel Referensi'!$D$2:$D$601)</f>
        <v>Surabaya</v>
      </c>
    </row>
    <row r="434" spans="1:4" x14ac:dyDescent="0.35">
      <c r="A434" s="2">
        <v>10484</v>
      </c>
      <c r="B434" t="str">
        <f>_xlfn.XLOOKUP(A434,'Tabel Referensi'!$A$2:$A$601,'Tabel Referensi'!$B$2:$B$601)</f>
        <v>Lina Gunawan</v>
      </c>
      <c r="C434" t="str">
        <f>_xlfn.XLOOKUP(A434,'Tabel Referensi'!$A$2:$A$601,'Tabel Referensi'!$C$2:$C$601)</f>
        <v>08438303419</v>
      </c>
      <c r="D434" t="str">
        <f>_xlfn.XLOOKUP(A434,'Tabel Referensi'!$A$2:$A$601,'Tabel Referensi'!$D$2:$D$601)</f>
        <v>Bandung</v>
      </c>
    </row>
    <row r="435" spans="1:4" x14ac:dyDescent="0.35">
      <c r="A435" s="2">
        <v>10577</v>
      </c>
      <c r="B435" t="str">
        <f>_xlfn.XLOOKUP(A435,'Tabel Referensi'!$A$2:$A$601,'Tabel Referensi'!$B$2:$B$601)</f>
        <v>Rian Pratama</v>
      </c>
      <c r="C435" t="str">
        <f>_xlfn.XLOOKUP(A435,'Tabel Referensi'!$A$2:$A$601,'Tabel Referensi'!$C$2:$C$601)</f>
        <v>08866041644</v>
      </c>
      <c r="D435" t="str">
        <f>_xlfn.XLOOKUP(A435,'Tabel Referensi'!$A$2:$A$601,'Tabel Referensi'!$D$2:$D$601)</f>
        <v>Bandung</v>
      </c>
    </row>
    <row r="436" spans="1:4" x14ac:dyDescent="0.35">
      <c r="A436" s="2">
        <v>10127</v>
      </c>
      <c r="B436" t="str">
        <f>_xlfn.XLOOKUP(A436,'Tabel Referensi'!$A$2:$A$601,'Tabel Referensi'!$B$2:$B$601)</f>
        <v>Fitri Kusuma</v>
      </c>
      <c r="C436" t="str">
        <f>_xlfn.XLOOKUP(A436,'Tabel Referensi'!$A$2:$A$601,'Tabel Referensi'!$C$2:$C$601)</f>
        <v>088775140105</v>
      </c>
      <c r="D436" t="str">
        <f>_xlfn.XLOOKUP(A436,'Tabel Referensi'!$A$2:$A$601,'Tabel Referensi'!$D$2:$D$601)</f>
        <v>Surabaya</v>
      </c>
    </row>
    <row r="437" spans="1:4" x14ac:dyDescent="0.35">
      <c r="A437" s="2">
        <v>10474</v>
      </c>
      <c r="B437" t="str">
        <f>_xlfn.XLOOKUP(A437,'Tabel Referensi'!$A$2:$A$601,'Tabel Referensi'!$B$2:$B$601)</f>
        <v>Ahmad Kusuma</v>
      </c>
      <c r="C437" t="str">
        <f>_xlfn.XLOOKUP(A437,'Tabel Referensi'!$A$2:$A$601,'Tabel Referensi'!$C$2:$C$601)</f>
        <v>088797245723</v>
      </c>
      <c r="D437" t="str">
        <f>_xlfn.XLOOKUP(A437,'Tabel Referensi'!$A$2:$A$601,'Tabel Referensi'!$D$2:$D$601)</f>
        <v>Surabaya</v>
      </c>
    </row>
    <row r="438" spans="1:4" x14ac:dyDescent="0.35">
      <c r="A438" s="2">
        <v>10166</v>
      </c>
      <c r="B438" t="str">
        <f>_xlfn.XLOOKUP(A438,'Tabel Referensi'!$A$2:$A$601,'Tabel Referensi'!$B$2:$B$601)</f>
        <v>Sari Wijaya</v>
      </c>
      <c r="C438" t="str">
        <f>_xlfn.XLOOKUP(A438,'Tabel Referensi'!$A$2:$A$601,'Tabel Referensi'!$C$2:$C$601)</f>
        <v>088089899217</v>
      </c>
      <c r="D438" t="str">
        <f>_xlfn.XLOOKUP(A438,'Tabel Referensi'!$A$2:$A$601,'Tabel Referensi'!$D$2:$D$601)</f>
        <v>Denpasar</v>
      </c>
    </row>
    <row r="439" spans="1:4" x14ac:dyDescent="0.35">
      <c r="A439" s="2">
        <v>10011</v>
      </c>
      <c r="B439" t="str">
        <f>_xlfn.XLOOKUP(A439,'Tabel Referensi'!$A$2:$A$601,'Tabel Referensi'!$B$2:$B$601)</f>
        <v>Budi Saputra</v>
      </c>
      <c r="C439" t="str">
        <f>_xlfn.XLOOKUP(A439,'Tabel Referensi'!$A$2:$A$601,'Tabel Referensi'!$C$2:$C$601)</f>
        <v>088647468723</v>
      </c>
      <c r="D439" t="str">
        <f>_xlfn.XLOOKUP(A439,'Tabel Referensi'!$A$2:$A$601,'Tabel Referensi'!$D$2:$D$601)</f>
        <v>Bandung</v>
      </c>
    </row>
    <row r="440" spans="1:4" x14ac:dyDescent="0.35">
      <c r="A440" s="2">
        <v>10209</v>
      </c>
      <c r="B440" t="str">
        <f>_xlfn.XLOOKUP(A440,'Tabel Referensi'!$A$2:$A$601,'Tabel Referensi'!$B$2:$B$601)</f>
        <v>Lina Siregar</v>
      </c>
      <c r="C440" t="str">
        <f>_xlfn.XLOOKUP(A440,'Tabel Referensi'!$A$2:$A$601,'Tabel Referensi'!$C$2:$C$601)</f>
        <v>08039282722</v>
      </c>
      <c r="D440" t="str">
        <f>_xlfn.XLOOKUP(A440,'Tabel Referensi'!$A$2:$A$601,'Tabel Referensi'!$D$2:$D$601)</f>
        <v>Malang</v>
      </c>
    </row>
    <row r="441" spans="1:4" x14ac:dyDescent="0.35">
      <c r="A441" s="2">
        <v>10374</v>
      </c>
      <c r="B441" t="str">
        <f>_xlfn.XLOOKUP(A441,'Tabel Referensi'!$A$2:$A$601,'Tabel Referensi'!$B$2:$B$601)</f>
        <v>Kiki Lestari</v>
      </c>
      <c r="C441" t="str">
        <f>_xlfn.XLOOKUP(A441,'Tabel Referensi'!$A$2:$A$601,'Tabel Referensi'!$C$2:$C$601)</f>
        <v>088456532863</v>
      </c>
      <c r="D441" t="str">
        <f>_xlfn.XLOOKUP(A441,'Tabel Referensi'!$A$2:$A$601,'Tabel Referensi'!$D$2:$D$601)</f>
        <v>Bandung</v>
      </c>
    </row>
    <row r="442" spans="1:4" x14ac:dyDescent="0.35">
      <c r="A442" s="2">
        <v>10292</v>
      </c>
      <c r="B442" t="str">
        <f>_xlfn.XLOOKUP(A442,'Tabel Referensi'!$A$2:$A$601,'Tabel Referensi'!$B$2:$B$601)</f>
        <v>Fitri Lestari</v>
      </c>
      <c r="C442" t="str">
        <f>_xlfn.XLOOKUP(A442,'Tabel Referensi'!$A$2:$A$601,'Tabel Referensi'!$C$2:$C$601)</f>
        <v>088292766372</v>
      </c>
      <c r="D442" t="str">
        <f>_xlfn.XLOOKUP(A442,'Tabel Referensi'!$A$2:$A$601,'Tabel Referensi'!$D$2:$D$601)</f>
        <v>Yogyakarta</v>
      </c>
    </row>
    <row r="443" spans="1:4" x14ac:dyDescent="0.35">
      <c r="A443" s="2">
        <v>10306</v>
      </c>
      <c r="B443" t="str">
        <f>_xlfn.XLOOKUP(A443,'Tabel Referensi'!$A$2:$A$601,'Tabel Referensi'!$B$2:$B$601)</f>
        <v>Fajar Kusuma</v>
      </c>
      <c r="C443" t="str">
        <f>_xlfn.XLOOKUP(A443,'Tabel Referensi'!$A$2:$A$601,'Tabel Referensi'!$C$2:$C$601)</f>
        <v>088329092791</v>
      </c>
      <c r="D443" t="str">
        <f>_xlfn.XLOOKUP(A443,'Tabel Referensi'!$A$2:$A$601,'Tabel Referensi'!$D$2:$D$601)</f>
        <v>Semarang</v>
      </c>
    </row>
    <row r="444" spans="1:4" x14ac:dyDescent="0.35">
      <c r="A444" s="2">
        <v>10332</v>
      </c>
      <c r="B444" t="str">
        <f>_xlfn.XLOOKUP(A444,'Tabel Referensi'!$A$2:$A$601,'Tabel Referensi'!$B$2:$B$601)</f>
        <v>Lina Santoso</v>
      </c>
      <c r="C444" t="str">
        <f>_xlfn.XLOOKUP(A444,'Tabel Referensi'!$A$2:$A$601,'Tabel Referensi'!$C$2:$C$601)</f>
        <v>088342801387</v>
      </c>
      <c r="D444" t="str">
        <f>_xlfn.XLOOKUP(A444,'Tabel Referensi'!$A$2:$A$601,'Tabel Referensi'!$D$2:$D$601)</f>
        <v>Malang</v>
      </c>
    </row>
    <row r="445" spans="1:4" x14ac:dyDescent="0.35">
      <c r="A445" s="2">
        <v>10257</v>
      </c>
      <c r="B445" t="str">
        <f>_xlfn.XLOOKUP(A445,'Tabel Referensi'!$A$2:$A$601,'Tabel Referensi'!$B$2:$B$601)</f>
        <v>Yani Pratama</v>
      </c>
      <c r="C445" t="str">
        <f>_xlfn.XLOOKUP(A445,'Tabel Referensi'!$A$2:$A$601,'Tabel Referensi'!$C$2:$C$601)</f>
        <v>088487920698</v>
      </c>
      <c r="D445" t="str">
        <f>_xlfn.XLOOKUP(A445,'Tabel Referensi'!$A$2:$A$601,'Tabel Referensi'!$D$2:$D$601)</f>
        <v>Palembang</v>
      </c>
    </row>
    <row r="446" spans="1:4" x14ac:dyDescent="0.35">
      <c r="A446" s="2">
        <v>10317</v>
      </c>
      <c r="B446" t="str">
        <f>_xlfn.XLOOKUP(A446,'Tabel Referensi'!$A$2:$A$601,'Tabel Referensi'!$B$2:$B$601)</f>
        <v>Indah Pratama</v>
      </c>
      <c r="C446" t="str">
        <f>_xlfn.XLOOKUP(A446,'Tabel Referensi'!$A$2:$A$601,'Tabel Referensi'!$C$2:$C$601)</f>
        <v>088670431038</v>
      </c>
      <c r="D446" t="str">
        <f>_xlfn.XLOOKUP(A446,'Tabel Referensi'!$A$2:$A$601,'Tabel Referensi'!$D$2:$D$601)</f>
        <v>Palembang</v>
      </c>
    </row>
    <row r="447" spans="1:4" x14ac:dyDescent="0.35">
      <c r="A447" s="2">
        <v>10312</v>
      </c>
      <c r="B447" t="str">
        <f>_xlfn.XLOOKUP(A447,'Tabel Referensi'!$A$2:$A$601,'Tabel Referensi'!$B$2:$B$601)</f>
        <v>Eka Saputra</v>
      </c>
      <c r="C447" t="str">
        <f>_xlfn.XLOOKUP(A447,'Tabel Referensi'!$A$2:$A$601,'Tabel Referensi'!$C$2:$C$601)</f>
        <v>088177318063</v>
      </c>
      <c r="D447" t="str">
        <f>_xlfn.XLOOKUP(A447,'Tabel Referensi'!$A$2:$A$601,'Tabel Referensi'!$D$2:$D$601)</f>
        <v>Medan</v>
      </c>
    </row>
    <row r="448" spans="1:4" x14ac:dyDescent="0.35">
      <c r="A448" s="2">
        <v>10070</v>
      </c>
      <c r="B448" t="str">
        <f>_xlfn.XLOOKUP(A448,'Tabel Referensi'!$A$2:$A$601,'Tabel Referensi'!$B$2:$B$601)</f>
        <v>Wawan Siregar</v>
      </c>
      <c r="C448" t="str">
        <f>_xlfn.XLOOKUP(A448,'Tabel Referensi'!$A$2:$A$601,'Tabel Referensi'!$C$2:$C$601)</f>
        <v>08629148652</v>
      </c>
      <c r="D448" t="str">
        <f>_xlfn.XLOOKUP(A448,'Tabel Referensi'!$A$2:$A$601,'Tabel Referensi'!$D$2:$D$601)</f>
        <v>Semarang</v>
      </c>
    </row>
    <row r="449" spans="1:4" x14ac:dyDescent="0.35">
      <c r="A449" s="2">
        <v>10316</v>
      </c>
      <c r="B449" t="str">
        <f>_xlfn.XLOOKUP(A449,'Tabel Referensi'!$A$2:$A$601,'Tabel Referensi'!$B$2:$B$601)</f>
        <v>Lina Simatupang</v>
      </c>
      <c r="C449" t="str">
        <f>_xlfn.XLOOKUP(A449,'Tabel Referensi'!$A$2:$A$601,'Tabel Referensi'!$C$2:$C$601)</f>
        <v>088137116241</v>
      </c>
      <c r="D449" t="str">
        <f>_xlfn.XLOOKUP(A449,'Tabel Referensi'!$A$2:$A$601,'Tabel Referensi'!$D$2:$D$601)</f>
        <v>Denpasar</v>
      </c>
    </row>
    <row r="450" spans="1:4" x14ac:dyDescent="0.35">
      <c r="A450" s="2">
        <v>10014</v>
      </c>
      <c r="B450" t="str">
        <f>_xlfn.XLOOKUP(A450,'Tabel Referensi'!$A$2:$A$601,'Tabel Referensi'!$B$2:$B$601)</f>
        <v>Sari Hidayat</v>
      </c>
      <c r="C450" t="str">
        <f>_xlfn.XLOOKUP(A450,'Tabel Referensi'!$A$2:$A$601,'Tabel Referensi'!$C$2:$C$601)</f>
        <v>088498084124</v>
      </c>
      <c r="D450" t="str">
        <f>_xlfn.XLOOKUP(A450,'Tabel Referensi'!$A$2:$A$601,'Tabel Referensi'!$D$2:$D$601)</f>
        <v>Semarang</v>
      </c>
    </row>
    <row r="451" spans="1:4" x14ac:dyDescent="0.35">
      <c r="A451" s="2">
        <v>10514</v>
      </c>
      <c r="B451" t="str">
        <f>_xlfn.XLOOKUP(A451,'Tabel Referensi'!$A$2:$A$601,'Tabel Referensi'!$B$2:$B$601)</f>
        <v>Rian Nugroho</v>
      </c>
      <c r="C451" t="str">
        <f>_xlfn.XLOOKUP(A451,'Tabel Referensi'!$A$2:$A$601,'Tabel Referensi'!$C$2:$C$601)</f>
        <v>088158331170</v>
      </c>
      <c r="D451" t="str">
        <f>_xlfn.XLOOKUP(A451,'Tabel Referensi'!$A$2:$A$601,'Tabel Referensi'!$D$2:$D$601)</f>
        <v>Palembang</v>
      </c>
    </row>
    <row r="452" spans="1:4" x14ac:dyDescent="0.35">
      <c r="A452" s="2">
        <v>10210</v>
      </c>
      <c r="B452" t="str">
        <f>_xlfn.XLOOKUP(A452,'Tabel Referensi'!$A$2:$A$601,'Tabel Referensi'!$B$2:$B$601)</f>
        <v>Wawan Lestari</v>
      </c>
      <c r="C452" t="str">
        <f>_xlfn.XLOOKUP(A452,'Tabel Referensi'!$A$2:$A$601,'Tabel Referensi'!$C$2:$C$601)</f>
        <v/>
      </c>
      <c r="D452" t="str">
        <f>_xlfn.XLOOKUP(A452,'Tabel Referensi'!$A$2:$A$601,'Tabel Referensi'!$D$2:$D$601)</f>
        <v>Yogyakarta</v>
      </c>
    </row>
    <row r="453" spans="1:4" x14ac:dyDescent="0.35">
      <c r="A453" s="2">
        <v>10483</v>
      </c>
      <c r="B453" t="str">
        <f>_xlfn.XLOOKUP(A453,'Tabel Referensi'!$A$2:$A$601,'Tabel Referensi'!$B$2:$B$601)</f>
        <v>Eka Hidayat</v>
      </c>
      <c r="C453" t="str">
        <f>_xlfn.XLOOKUP(A453,'Tabel Referensi'!$A$2:$A$601,'Tabel Referensi'!$C$2:$C$601)</f>
        <v>088662056341</v>
      </c>
      <c r="D453" t="str">
        <f>_xlfn.XLOOKUP(A453,'Tabel Referensi'!$A$2:$A$601,'Tabel Referensi'!$D$2:$D$601)</f>
        <v>Malang</v>
      </c>
    </row>
    <row r="454" spans="1:4" x14ac:dyDescent="0.35">
      <c r="A454" s="2">
        <v>10214</v>
      </c>
      <c r="B454" t="str">
        <f>_xlfn.XLOOKUP(A454,'Tabel Referensi'!$A$2:$A$601,'Tabel Referensi'!$B$2:$B$601)</f>
        <v>Erik Lestari</v>
      </c>
      <c r="C454" t="str">
        <f>_xlfn.XLOOKUP(A454,'Tabel Referensi'!$A$2:$A$601,'Tabel Referensi'!$C$2:$C$601)</f>
        <v>088379772369</v>
      </c>
      <c r="D454" t="str">
        <f>_xlfn.XLOOKUP(A454,'Tabel Referensi'!$A$2:$A$601,'Tabel Referensi'!$D$2:$D$601)</f>
        <v>Surabaya</v>
      </c>
    </row>
    <row r="455" spans="1:4" x14ac:dyDescent="0.35">
      <c r="A455" s="2">
        <v>10297</v>
      </c>
      <c r="B455" t="str">
        <f>_xlfn.XLOOKUP(A455,'Tabel Referensi'!$A$2:$A$601,'Tabel Referensi'!$B$2:$B$601)</f>
        <v>Wawan Hidayat</v>
      </c>
      <c r="C455" t="str">
        <f>_xlfn.XLOOKUP(A455,'Tabel Referensi'!$A$2:$A$601,'Tabel Referensi'!$C$2:$C$601)</f>
        <v>088244717465</v>
      </c>
      <c r="D455" t="str">
        <f>_xlfn.XLOOKUP(A455,'Tabel Referensi'!$A$2:$A$601,'Tabel Referensi'!$D$2:$D$601)</f>
        <v>Jakarta</v>
      </c>
    </row>
    <row r="456" spans="1:4" x14ac:dyDescent="0.35">
      <c r="A456" s="2">
        <v>10464</v>
      </c>
      <c r="B456" t="str">
        <f>_xlfn.XLOOKUP(A456,'Tabel Referensi'!$A$2:$A$601,'Tabel Referensi'!$B$2:$B$601)</f>
        <v>Dian Wijaya</v>
      </c>
      <c r="C456" t="str">
        <f>_xlfn.XLOOKUP(A456,'Tabel Referensi'!$A$2:$A$601,'Tabel Referensi'!$C$2:$C$601)</f>
        <v>088041454563</v>
      </c>
      <c r="D456" t="str">
        <f>_xlfn.XLOOKUP(A456,'Tabel Referensi'!$A$2:$A$601,'Tabel Referensi'!$D$2:$D$601)</f>
        <v>Makassar</v>
      </c>
    </row>
    <row r="457" spans="1:4" x14ac:dyDescent="0.35">
      <c r="A457" s="2">
        <v>10349</v>
      </c>
      <c r="B457" t="str">
        <f>_xlfn.XLOOKUP(A457,'Tabel Referensi'!$A$2:$A$601,'Tabel Referensi'!$B$2:$B$601)</f>
        <v>Indah Lestari</v>
      </c>
      <c r="C457" t="str">
        <f>_xlfn.XLOOKUP(A457,'Tabel Referensi'!$A$2:$A$601,'Tabel Referensi'!$C$2:$C$601)</f>
        <v>088348645183</v>
      </c>
      <c r="D457" t="str">
        <f>_xlfn.XLOOKUP(A457,'Tabel Referensi'!$A$2:$A$601,'Tabel Referensi'!$D$2:$D$601)</f>
        <v>Palembang</v>
      </c>
    </row>
    <row r="458" spans="1:4" x14ac:dyDescent="0.35">
      <c r="A458" s="2">
        <v>10088</v>
      </c>
      <c r="B458" t="str">
        <f>_xlfn.XLOOKUP(A458,'Tabel Referensi'!$A$2:$A$601,'Tabel Referensi'!$B$2:$B$601)</f>
        <v>Vina Saputra</v>
      </c>
      <c r="C458" t="str">
        <f>_xlfn.XLOOKUP(A458,'Tabel Referensi'!$A$2:$A$601,'Tabel Referensi'!$C$2:$C$601)</f>
        <v/>
      </c>
      <c r="D458" t="str">
        <f>_xlfn.XLOOKUP(A458,'Tabel Referensi'!$A$2:$A$601,'Tabel Referensi'!$D$2:$D$601)</f>
        <v>Denpasar</v>
      </c>
    </row>
    <row r="459" spans="1:4" x14ac:dyDescent="0.35">
      <c r="A459" s="2">
        <v>10335</v>
      </c>
      <c r="B459" t="str">
        <f>_xlfn.XLOOKUP(A459,'Tabel Referensi'!$A$2:$A$601,'Tabel Referensi'!$B$2:$B$601)</f>
        <v>Oki Kusuma</v>
      </c>
      <c r="C459" t="str">
        <f>_xlfn.XLOOKUP(A459,'Tabel Referensi'!$A$2:$A$601,'Tabel Referensi'!$C$2:$C$601)</f>
        <v>088961367499</v>
      </c>
      <c r="D459" t="str">
        <f>_xlfn.XLOOKUP(A459,'Tabel Referensi'!$A$2:$A$601,'Tabel Referensi'!$D$2:$D$601)</f>
        <v>Surabaya</v>
      </c>
    </row>
    <row r="460" spans="1:4" x14ac:dyDescent="0.35">
      <c r="A460" s="2">
        <v>10508</v>
      </c>
      <c r="B460" t="str">
        <f>_xlfn.XLOOKUP(A460,'Tabel Referensi'!$A$2:$A$601,'Tabel Referensi'!$B$2:$B$601)</f>
        <v>Eka Gunawan</v>
      </c>
      <c r="C460" t="str">
        <f>_xlfn.XLOOKUP(A460,'Tabel Referensi'!$A$2:$A$601,'Tabel Referensi'!$C$2:$C$601)</f>
        <v>08649383184</v>
      </c>
      <c r="D460" t="str">
        <f>_xlfn.XLOOKUP(A460,'Tabel Referensi'!$A$2:$A$601,'Tabel Referensi'!$D$2:$D$601)</f>
        <v>Medan</v>
      </c>
    </row>
    <row r="461" spans="1:4" x14ac:dyDescent="0.35">
      <c r="A461" s="2">
        <v>10390</v>
      </c>
      <c r="B461" t="str">
        <f>_xlfn.XLOOKUP(A461,'Tabel Referensi'!$A$2:$A$601,'Tabel Referensi'!$B$2:$B$601)</f>
        <v>Indah Setiawan</v>
      </c>
      <c r="C461" t="str">
        <f>_xlfn.XLOOKUP(A461,'Tabel Referensi'!$A$2:$A$601,'Tabel Referensi'!$C$2:$C$601)</f>
        <v>08416128463</v>
      </c>
      <c r="D461" t="str">
        <f>_xlfn.XLOOKUP(A461,'Tabel Referensi'!$A$2:$A$601,'Tabel Referensi'!$D$2:$D$601)</f>
        <v>Yogyakarta</v>
      </c>
    </row>
    <row r="462" spans="1:4" x14ac:dyDescent="0.35">
      <c r="A462" s="2">
        <v>10171</v>
      </c>
      <c r="B462" t="str">
        <f>_xlfn.XLOOKUP(A462,'Tabel Referensi'!$A$2:$A$601,'Tabel Referensi'!$B$2:$B$601)</f>
        <v>Erik Saputra</v>
      </c>
      <c r="C462" t="str">
        <f>_xlfn.XLOOKUP(A462,'Tabel Referensi'!$A$2:$A$601,'Tabel Referensi'!$C$2:$C$601)</f>
        <v>088786103579</v>
      </c>
      <c r="D462" t="str">
        <f>_xlfn.XLOOKUP(A462,'Tabel Referensi'!$A$2:$A$601,'Tabel Referensi'!$D$2:$D$601)</f>
        <v>Bandung</v>
      </c>
    </row>
    <row r="463" spans="1:4" x14ac:dyDescent="0.35">
      <c r="A463" s="2">
        <v>10594</v>
      </c>
      <c r="B463" t="str">
        <f>_xlfn.XLOOKUP(A463,'Tabel Referensi'!$A$2:$A$601,'Tabel Referensi'!$B$2:$B$601)</f>
        <v>Joko Wijaya</v>
      </c>
      <c r="C463" t="str">
        <f>_xlfn.XLOOKUP(A463,'Tabel Referensi'!$A$2:$A$601,'Tabel Referensi'!$C$2:$C$601)</f>
        <v>088249839225</v>
      </c>
      <c r="D463" t="str">
        <f>_xlfn.XLOOKUP(A463,'Tabel Referensi'!$A$2:$A$601,'Tabel Referensi'!$D$2:$D$601)</f>
        <v>Denpasar</v>
      </c>
    </row>
    <row r="464" spans="1:4" x14ac:dyDescent="0.35">
      <c r="A464" s="2">
        <v>10272</v>
      </c>
      <c r="B464" t="str">
        <f>_xlfn.XLOOKUP(A464,'Tabel Referensi'!$A$2:$A$601,'Tabel Referensi'!$B$2:$B$601)</f>
        <v>Fitri Rahayu</v>
      </c>
      <c r="C464" t="str">
        <f>_xlfn.XLOOKUP(A464,'Tabel Referensi'!$A$2:$A$601,'Tabel Referensi'!$C$2:$C$601)</f>
        <v>088877293430</v>
      </c>
      <c r="D464" t="str">
        <f>_xlfn.XLOOKUP(A464,'Tabel Referensi'!$A$2:$A$601,'Tabel Referensi'!$D$2:$D$601)</f>
        <v>Malang</v>
      </c>
    </row>
    <row r="465" spans="1:4" x14ac:dyDescent="0.35">
      <c r="A465" s="2">
        <v>10001</v>
      </c>
      <c r="B465" t="str">
        <f>_xlfn.XLOOKUP(A465,'Tabel Referensi'!$A$2:$A$601,'Tabel Referensi'!$B$2:$B$601)</f>
        <v>Hadi Simatupang</v>
      </c>
      <c r="C465" t="str">
        <f>_xlfn.XLOOKUP(A465,'Tabel Referensi'!$A$2:$A$601,'Tabel Referensi'!$C$2:$C$601)</f>
        <v>088615594078</v>
      </c>
      <c r="D465" t="str">
        <f>_xlfn.XLOOKUP(A465,'Tabel Referensi'!$A$2:$A$601,'Tabel Referensi'!$D$2:$D$601)</f>
        <v>Semarang</v>
      </c>
    </row>
    <row r="466" spans="1:4" x14ac:dyDescent="0.35">
      <c r="A466" s="2">
        <v>10147</v>
      </c>
      <c r="B466" t="str">
        <f>_xlfn.XLOOKUP(A466,'Tabel Referensi'!$A$2:$A$601,'Tabel Referensi'!$B$2:$B$601)</f>
        <v>Made Lestari</v>
      </c>
      <c r="C466" t="str">
        <f>_xlfn.XLOOKUP(A466,'Tabel Referensi'!$A$2:$A$601,'Tabel Referensi'!$C$2:$C$601)</f>
        <v>088951802380</v>
      </c>
      <c r="D466" t="str">
        <f>_xlfn.XLOOKUP(A466,'Tabel Referensi'!$A$2:$A$601,'Tabel Referensi'!$D$2:$D$601)</f>
        <v>Medan</v>
      </c>
    </row>
    <row r="467" spans="1:4" x14ac:dyDescent="0.35">
      <c r="A467" s="2">
        <v>10204</v>
      </c>
      <c r="B467" t="str">
        <f>_xlfn.XLOOKUP(A467,'Tabel Referensi'!$A$2:$A$601,'Tabel Referensi'!$B$2:$B$601)</f>
        <v>Joko Lestari</v>
      </c>
      <c r="C467" t="str">
        <f>_xlfn.XLOOKUP(A467,'Tabel Referensi'!$A$2:$A$601,'Tabel Referensi'!$C$2:$C$601)</f>
        <v>088881435368</v>
      </c>
      <c r="D467" t="str">
        <f>_xlfn.XLOOKUP(A467,'Tabel Referensi'!$A$2:$A$601,'Tabel Referensi'!$D$2:$D$601)</f>
        <v>Yogyakarta</v>
      </c>
    </row>
    <row r="468" spans="1:4" x14ac:dyDescent="0.35">
      <c r="A468" s="2">
        <v>10090</v>
      </c>
      <c r="B468" t="str">
        <f>_xlfn.XLOOKUP(A468,'Tabel Referensi'!$A$2:$A$601,'Tabel Referensi'!$B$2:$B$601)</f>
        <v>Hadi Lestari</v>
      </c>
      <c r="C468" t="str">
        <f>_xlfn.XLOOKUP(A468,'Tabel Referensi'!$A$2:$A$601,'Tabel Referensi'!$C$2:$C$601)</f>
        <v>088327877470</v>
      </c>
      <c r="D468" t="str">
        <f>_xlfn.XLOOKUP(A468,'Tabel Referensi'!$A$2:$A$601,'Tabel Referensi'!$D$2:$D$601)</f>
        <v>Medan</v>
      </c>
    </row>
    <row r="469" spans="1:4" x14ac:dyDescent="0.35">
      <c r="A469" s="2">
        <v>10557</v>
      </c>
      <c r="B469" t="str">
        <f>_xlfn.XLOOKUP(A469,'Tabel Referensi'!$A$2:$A$601,'Tabel Referensi'!$B$2:$B$601)</f>
        <v>Indah Rahayu</v>
      </c>
      <c r="C469" t="str">
        <f>_xlfn.XLOOKUP(A469,'Tabel Referensi'!$A$2:$A$601,'Tabel Referensi'!$C$2:$C$601)</f>
        <v>088327021648</v>
      </c>
      <c r="D469" t="str">
        <f>_xlfn.XLOOKUP(A469,'Tabel Referensi'!$A$2:$A$601,'Tabel Referensi'!$D$2:$D$601)</f>
        <v>Yogyakarta</v>
      </c>
    </row>
    <row r="470" spans="1:4" x14ac:dyDescent="0.35">
      <c r="A470" s="2">
        <v>10512</v>
      </c>
      <c r="B470" t="str">
        <f>_xlfn.XLOOKUP(A470,'Tabel Referensi'!$A$2:$A$601,'Tabel Referensi'!$B$2:$B$601)</f>
        <v>Yani Simatupang</v>
      </c>
      <c r="C470" t="str">
        <f>_xlfn.XLOOKUP(A470,'Tabel Referensi'!$A$2:$A$601,'Tabel Referensi'!$C$2:$C$601)</f>
        <v>088563213580</v>
      </c>
      <c r="D470" t="str">
        <f>_xlfn.XLOOKUP(A470,'Tabel Referensi'!$A$2:$A$601,'Tabel Referensi'!$D$2:$D$601)</f>
        <v>Jakarta</v>
      </c>
    </row>
    <row r="471" spans="1:4" x14ac:dyDescent="0.35">
      <c r="A471" s="2">
        <v>10566</v>
      </c>
      <c r="B471" t="str">
        <f>_xlfn.XLOOKUP(A471,'Tabel Referensi'!$A$2:$A$601,'Tabel Referensi'!$B$2:$B$601)</f>
        <v>Yani Setiawan</v>
      </c>
      <c r="C471" t="str">
        <f>_xlfn.XLOOKUP(A471,'Tabel Referensi'!$A$2:$A$601,'Tabel Referensi'!$C$2:$C$601)</f>
        <v>088477695874</v>
      </c>
      <c r="D471" t="str">
        <f>_xlfn.XLOOKUP(A471,'Tabel Referensi'!$A$2:$A$601,'Tabel Referensi'!$D$2:$D$601)</f>
        <v>Makassar</v>
      </c>
    </row>
    <row r="472" spans="1:4" x14ac:dyDescent="0.35">
      <c r="A472" s="2">
        <v>10422</v>
      </c>
      <c r="B472" t="str">
        <f>_xlfn.XLOOKUP(A472,'Tabel Referensi'!$A$2:$A$601,'Tabel Referensi'!$B$2:$B$601)</f>
        <v>Sari Hidayat</v>
      </c>
      <c r="C472" t="str">
        <f>_xlfn.XLOOKUP(A472,'Tabel Referensi'!$A$2:$A$601,'Tabel Referensi'!$C$2:$C$601)</f>
        <v>088065063731</v>
      </c>
      <c r="D472" t="str">
        <f>_xlfn.XLOOKUP(A472,'Tabel Referensi'!$A$2:$A$601,'Tabel Referensi'!$D$2:$D$601)</f>
        <v>Bandung</v>
      </c>
    </row>
    <row r="473" spans="1:4" x14ac:dyDescent="0.35">
      <c r="A473" s="2">
        <v>10146</v>
      </c>
      <c r="B473" t="str">
        <f>_xlfn.XLOOKUP(A473,'Tabel Referensi'!$A$2:$A$601,'Tabel Referensi'!$B$2:$B$601)</f>
        <v>Fajar Setiawan</v>
      </c>
      <c r="C473" t="str">
        <f>_xlfn.XLOOKUP(A473,'Tabel Referensi'!$A$2:$A$601,'Tabel Referensi'!$C$2:$C$601)</f>
        <v/>
      </c>
      <c r="D473" t="str">
        <f>_xlfn.XLOOKUP(A473,'Tabel Referensi'!$A$2:$A$601,'Tabel Referensi'!$D$2:$D$601)</f>
        <v>Malang</v>
      </c>
    </row>
    <row r="474" spans="1:4" x14ac:dyDescent="0.35">
      <c r="A474" s="2">
        <v>10237</v>
      </c>
      <c r="B474" t="str">
        <f>_xlfn.XLOOKUP(A474,'Tabel Referensi'!$A$2:$A$601,'Tabel Referensi'!$B$2:$B$601)</f>
        <v>Indah Lestari</v>
      </c>
      <c r="C474" t="str">
        <f>_xlfn.XLOOKUP(A474,'Tabel Referensi'!$A$2:$A$601,'Tabel Referensi'!$C$2:$C$601)</f>
        <v>08774064930</v>
      </c>
      <c r="D474" t="str">
        <f>_xlfn.XLOOKUP(A474,'Tabel Referensi'!$A$2:$A$601,'Tabel Referensi'!$D$2:$D$601)</f>
        <v>Medan</v>
      </c>
    </row>
    <row r="475" spans="1:4" x14ac:dyDescent="0.35">
      <c r="A475" s="2">
        <v>10533</v>
      </c>
      <c r="B475" t="str">
        <f>_xlfn.XLOOKUP(A475,'Tabel Referensi'!$A$2:$A$601,'Tabel Referensi'!$B$2:$B$601)</f>
        <v>Made Siregar</v>
      </c>
      <c r="C475" t="str">
        <f>_xlfn.XLOOKUP(A475,'Tabel Referensi'!$A$2:$A$601,'Tabel Referensi'!$C$2:$C$601)</f>
        <v>088940970527</v>
      </c>
      <c r="D475" t="str">
        <f>_xlfn.XLOOKUP(A475,'Tabel Referensi'!$A$2:$A$601,'Tabel Referensi'!$D$2:$D$601)</f>
        <v>Palembang</v>
      </c>
    </row>
    <row r="476" spans="1:4" x14ac:dyDescent="0.35">
      <c r="A476" s="2">
        <v>10253</v>
      </c>
      <c r="B476" t="str">
        <f>_xlfn.XLOOKUP(A476,'Tabel Referensi'!$A$2:$A$601,'Tabel Referensi'!$B$2:$B$601)</f>
        <v>Fitri Gunawan</v>
      </c>
      <c r="C476" t="str">
        <f>_xlfn.XLOOKUP(A476,'Tabel Referensi'!$A$2:$A$601,'Tabel Referensi'!$C$2:$C$601)</f>
        <v>088058925832</v>
      </c>
      <c r="D476" t="str">
        <f>_xlfn.XLOOKUP(A476,'Tabel Referensi'!$A$2:$A$601,'Tabel Referensi'!$D$2:$D$601)</f>
        <v>Makassar</v>
      </c>
    </row>
    <row r="477" spans="1:4" x14ac:dyDescent="0.35">
      <c r="A477" s="2">
        <v>10413</v>
      </c>
      <c r="B477" t="str">
        <f>_xlfn.XLOOKUP(A477,'Tabel Referensi'!$A$2:$A$601,'Tabel Referensi'!$B$2:$B$601)</f>
        <v>Made Hidayat</v>
      </c>
      <c r="C477" t="str">
        <f>_xlfn.XLOOKUP(A477,'Tabel Referensi'!$A$2:$A$601,'Tabel Referensi'!$C$2:$C$601)</f>
        <v>088412182097</v>
      </c>
      <c r="D477" t="str">
        <f>_xlfn.XLOOKUP(A477,'Tabel Referensi'!$A$2:$A$601,'Tabel Referensi'!$D$2:$D$601)</f>
        <v>Jakarta</v>
      </c>
    </row>
    <row r="478" spans="1:4" x14ac:dyDescent="0.35">
      <c r="A478" s="2">
        <v>10586</v>
      </c>
      <c r="B478" t="str">
        <f>_xlfn.XLOOKUP(A478,'Tabel Referensi'!$A$2:$A$601,'Tabel Referensi'!$B$2:$B$601)</f>
        <v>Fajar Nasution</v>
      </c>
      <c r="C478" t="str">
        <f>_xlfn.XLOOKUP(A478,'Tabel Referensi'!$A$2:$A$601,'Tabel Referensi'!$C$2:$C$601)</f>
        <v>08107051843</v>
      </c>
      <c r="D478" t="str">
        <f>_xlfn.XLOOKUP(A478,'Tabel Referensi'!$A$2:$A$601,'Tabel Referensi'!$D$2:$D$601)</f>
        <v>Jakarta</v>
      </c>
    </row>
    <row r="479" spans="1:4" x14ac:dyDescent="0.35">
      <c r="A479" s="2">
        <v>10401</v>
      </c>
      <c r="B479" t="str">
        <f>_xlfn.XLOOKUP(A479,'Tabel Referensi'!$A$2:$A$601,'Tabel Referensi'!$B$2:$B$601)</f>
        <v>Umi Gunawan</v>
      </c>
      <c r="C479" t="str">
        <f>_xlfn.XLOOKUP(A479,'Tabel Referensi'!$A$2:$A$601,'Tabel Referensi'!$C$2:$C$601)</f>
        <v>088653331537</v>
      </c>
      <c r="D479" t="str">
        <f>_xlfn.XLOOKUP(A479,'Tabel Referensi'!$A$2:$A$601,'Tabel Referensi'!$D$2:$D$601)</f>
        <v>Yogyakarta</v>
      </c>
    </row>
    <row r="480" spans="1:4" x14ac:dyDescent="0.35">
      <c r="A480" s="2">
        <v>10589</v>
      </c>
      <c r="B480" t="str">
        <f>_xlfn.XLOOKUP(A480,'Tabel Referensi'!$A$2:$A$601,'Tabel Referensi'!$B$2:$B$601)</f>
        <v>Fitri Simatupang</v>
      </c>
      <c r="C480" t="str">
        <f>_xlfn.XLOOKUP(A480,'Tabel Referensi'!$A$2:$A$601,'Tabel Referensi'!$C$2:$C$601)</f>
        <v>088357134324</v>
      </c>
      <c r="D480" t="str">
        <f>_xlfn.XLOOKUP(A480,'Tabel Referensi'!$A$2:$A$601,'Tabel Referensi'!$D$2:$D$601)</f>
        <v>Jakarta</v>
      </c>
    </row>
    <row r="481" spans="1:4" x14ac:dyDescent="0.35">
      <c r="A481" s="2">
        <v>10108</v>
      </c>
      <c r="B481" t="str">
        <f>_xlfn.XLOOKUP(A481,'Tabel Referensi'!$A$2:$A$601,'Tabel Referensi'!$B$2:$B$601)</f>
        <v>Kiki Gunawan</v>
      </c>
      <c r="C481" t="str">
        <f>_xlfn.XLOOKUP(A481,'Tabel Referensi'!$A$2:$A$601,'Tabel Referensi'!$C$2:$C$601)</f>
        <v>088268705685</v>
      </c>
      <c r="D481" t="str">
        <f>_xlfn.XLOOKUP(A481,'Tabel Referensi'!$A$2:$A$601,'Tabel Referensi'!$D$2:$D$601)</f>
        <v>Semarang</v>
      </c>
    </row>
    <row r="482" spans="1:4" x14ac:dyDescent="0.35">
      <c r="A482" s="2">
        <v>10371</v>
      </c>
      <c r="B482" t="str">
        <f>_xlfn.XLOOKUP(A482,'Tabel Referensi'!$A$2:$A$601,'Tabel Referensi'!$B$2:$B$601)</f>
        <v>Umi Hidayat</v>
      </c>
      <c r="C482" t="str">
        <f>_xlfn.XLOOKUP(A482,'Tabel Referensi'!$A$2:$A$601,'Tabel Referensi'!$C$2:$C$601)</f>
        <v>088674338005</v>
      </c>
      <c r="D482" t="str">
        <f>_xlfn.XLOOKUP(A482,'Tabel Referensi'!$A$2:$A$601,'Tabel Referensi'!$D$2:$D$601)</f>
        <v>Jakarta</v>
      </c>
    </row>
    <row r="483" spans="1:4" x14ac:dyDescent="0.35">
      <c r="A483" s="2">
        <v>10570</v>
      </c>
      <c r="B483" t="str">
        <f>_xlfn.XLOOKUP(A483,'Tabel Referensi'!$A$2:$A$601,'Tabel Referensi'!$B$2:$B$601)</f>
        <v>Bella Siregar</v>
      </c>
      <c r="C483" t="str">
        <f>_xlfn.XLOOKUP(A483,'Tabel Referensi'!$A$2:$A$601,'Tabel Referensi'!$C$2:$C$601)</f>
        <v>088286342556</v>
      </c>
      <c r="D483" t="str">
        <f>_xlfn.XLOOKUP(A483,'Tabel Referensi'!$A$2:$A$601,'Tabel Referensi'!$D$2:$D$601)</f>
        <v>Yogyakarta</v>
      </c>
    </row>
    <row r="484" spans="1:4" x14ac:dyDescent="0.35">
      <c r="A484" s="2">
        <v>10285</v>
      </c>
      <c r="B484" t="str">
        <f>_xlfn.XLOOKUP(A484,'Tabel Referensi'!$A$2:$A$601,'Tabel Referensi'!$B$2:$B$601)</f>
        <v>Oki Hidayat</v>
      </c>
      <c r="C484" t="str">
        <f>_xlfn.XLOOKUP(A484,'Tabel Referensi'!$A$2:$A$601,'Tabel Referensi'!$C$2:$C$601)</f>
        <v>08862405800</v>
      </c>
      <c r="D484" t="str">
        <f>_xlfn.XLOOKUP(A484,'Tabel Referensi'!$A$2:$A$601,'Tabel Referensi'!$D$2:$D$601)</f>
        <v>Yogyakarta</v>
      </c>
    </row>
    <row r="485" spans="1:4" x14ac:dyDescent="0.35">
      <c r="A485" s="2">
        <v>10428</v>
      </c>
      <c r="B485" t="str">
        <f>_xlfn.XLOOKUP(A485,'Tabel Referensi'!$A$2:$A$601,'Tabel Referensi'!$B$2:$B$601)</f>
        <v>Oki Marpaung</v>
      </c>
      <c r="C485" t="str">
        <f>_xlfn.XLOOKUP(A485,'Tabel Referensi'!$A$2:$A$601,'Tabel Referensi'!$C$2:$C$601)</f>
        <v>088498282467</v>
      </c>
      <c r="D485" t="str">
        <f>_xlfn.XLOOKUP(A485,'Tabel Referensi'!$A$2:$A$601,'Tabel Referensi'!$D$2:$D$601)</f>
        <v>Malang</v>
      </c>
    </row>
    <row r="486" spans="1:4" x14ac:dyDescent="0.35">
      <c r="A486" s="2">
        <v>10222</v>
      </c>
      <c r="B486" t="str">
        <f>_xlfn.XLOOKUP(A486,'Tabel Referensi'!$A$2:$A$601,'Tabel Referensi'!$B$2:$B$601)</f>
        <v>Vina Nasution</v>
      </c>
      <c r="C486" t="str">
        <f>_xlfn.XLOOKUP(A486,'Tabel Referensi'!$A$2:$A$601,'Tabel Referensi'!$C$2:$C$601)</f>
        <v>088920530214</v>
      </c>
      <c r="D486" t="str">
        <f>_xlfn.XLOOKUP(A486,'Tabel Referensi'!$A$2:$A$601,'Tabel Referensi'!$D$2:$D$601)</f>
        <v>Medan</v>
      </c>
    </row>
    <row r="487" spans="1:4" x14ac:dyDescent="0.35">
      <c r="A487" s="2">
        <v>10418</v>
      </c>
      <c r="B487" t="str">
        <f>_xlfn.XLOOKUP(A487,'Tabel Referensi'!$A$2:$A$601,'Tabel Referensi'!$B$2:$B$601)</f>
        <v>Budi Simatupang</v>
      </c>
      <c r="C487" t="str">
        <f>_xlfn.XLOOKUP(A487,'Tabel Referensi'!$A$2:$A$601,'Tabel Referensi'!$C$2:$C$601)</f>
        <v/>
      </c>
      <c r="D487" t="str">
        <f>_xlfn.XLOOKUP(A487,'Tabel Referensi'!$A$2:$A$601,'Tabel Referensi'!$D$2:$D$601)</f>
        <v>Jakarta</v>
      </c>
    </row>
    <row r="488" spans="1:4" x14ac:dyDescent="0.35">
      <c r="A488" s="2">
        <v>10378</v>
      </c>
      <c r="B488" t="str">
        <f>_xlfn.XLOOKUP(A488,'Tabel Referensi'!$A$2:$A$601,'Tabel Referensi'!$B$2:$B$601)</f>
        <v>Zaki Wijaya</v>
      </c>
      <c r="C488" t="str">
        <f>_xlfn.XLOOKUP(A488,'Tabel Referensi'!$A$2:$A$601,'Tabel Referensi'!$C$2:$C$601)</f>
        <v>088075399893</v>
      </c>
      <c r="D488" t="str">
        <f>_xlfn.XLOOKUP(A488,'Tabel Referensi'!$A$2:$A$601,'Tabel Referensi'!$D$2:$D$601)</f>
        <v>Semarang</v>
      </c>
    </row>
    <row r="489" spans="1:4" x14ac:dyDescent="0.35">
      <c r="A489" s="2">
        <v>10162</v>
      </c>
      <c r="B489" t="str">
        <f>_xlfn.XLOOKUP(A489,'Tabel Referensi'!$A$2:$A$601,'Tabel Referensi'!$B$2:$B$601)</f>
        <v>Vina Nugroho</v>
      </c>
      <c r="C489" t="str">
        <f>_xlfn.XLOOKUP(A489,'Tabel Referensi'!$A$2:$A$601,'Tabel Referensi'!$C$2:$C$601)</f>
        <v>088621815997</v>
      </c>
      <c r="D489" t="str">
        <f>_xlfn.XLOOKUP(A489,'Tabel Referensi'!$A$2:$A$601,'Tabel Referensi'!$D$2:$D$601)</f>
        <v>Palembang</v>
      </c>
    </row>
    <row r="490" spans="1:4" x14ac:dyDescent="0.35">
      <c r="A490" s="2">
        <v>10182</v>
      </c>
      <c r="B490" t="str">
        <f>_xlfn.XLOOKUP(A490,'Tabel Referensi'!$A$2:$A$601,'Tabel Referensi'!$B$2:$B$601)</f>
        <v>Ahmad Wijaya</v>
      </c>
      <c r="C490" t="str">
        <f>_xlfn.XLOOKUP(A490,'Tabel Referensi'!$A$2:$A$601,'Tabel Referensi'!$C$2:$C$601)</f>
        <v>088472304618</v>
      </c>
      <c r="D490" t="str">
        <f>_xlfn.XLOOKUP(A490,'Tabel Referensi'!$A$2:$A$601,'Tabel Referensi'!$D$2:$D$601)</f>
        <v>Medan</v>
      </c>
    </row>
    <row r="491" spans="1:4" x14ac:dyDescent="0.35">
      <c r="A491" s="2">
        <v>10296</v>
      </c>
      <c r="B491" t="str">
        <f>_xlfn.XLOOKUP(A491,'Tabel Referensi'!$A$2:$A$601,'Tabel Referensi'!$B$2:$B$601)</f>
        <v>Rian Pratama</v>
      </c>
      <c r="C491" t="str">
        <f>_xlfn.XLOOKUP(A491,'Tabel Referensi'!$A$2:$A$601,'Tabel Referensi'!$C$2:$C$601)</f>
        <v/>
      </c>
      <c r="D491" t="str">
        <f>_xlfn.XLOOKUP(A491,'Tabel Referensi'!$A$2:$A$601,'Tabel Referensi'!$D$2:$D$601)</f>
        <v>Yogyakarta</v>
      </c>
    </row>
    <row r="492" spans="1:4" x14ac:dyDescent="0.35">
      <c r="A492" s="2">
        <v>10113</v>
      </c>
      <c r="B492" t="str">
        <f>_xlfn.XLOOKUP(A492,'Tabel Referensi'!$A$2:$A$601,'Tabel Referensi'!$B$2:$B$601)</f>
        <v>Zaki Lestari</v>
      </c>
      <c r="C492" t="str">
        <f>_xlfn.XLOOKUP(A492,'Tabel Referensi'!$A$2:$A$601,'Tabel Referensi'!$C$2:$C$601)</f>
        <v>088937854777</v>
      </c>
      <c r="D492" t="str">
        <f>_xlfn.XLOOKUP(A492,'Tabel Referensi'!$A$2:$A$601,'Tabel Referensi'!$D$2:$D$601)</f>
        <v>Semarang</v>
      </c>
    </row>
    <row r="493" spans="1:4" x14ac:dyDescent="0.35">
      <c r="A493" s="2">
        <v>10216</v>
      </c>
      <c r="B493" t="str">
        <f>_xlfn.XLOOKUP(A493,'Tabel Referensi'!$A$2:$A$601,'Tabel Referensi'!$B$2:$B$601)</f>
        <v>Putri Wijaya</v>
      </c>
      <c r="C493" t="str">
        <f>_xlfn.XLOOKUP(A493,'Tabel Referensi'!$A$2:$A$601,'Tabel Referensi'!$C$2:$C$601)</f>
        <v>08508637659</v>
      </c>
      <c r="D493" t="str">
        <f>_xlfn.XLOOKUP(A493,'Tabel Referensi'!$A$2:$A$601,'Tabel Referensi'!$D$2:$D$601)</f>
        <v>Denpasar</v>
      </c>
    </row>
    <row r="494" spans="1:4" x14ac:dyDescent="0.35">
      <c r="A494" s="2">
        <v>10223</v>
      </c>
      <c r="B494" t="str">
        <f>_xlfn.XLOOKUP(A494,'Tabel Referensi'!$A$2:$A$601,'Tabel Referensi'!$B$2:$B$601)</f>
        <v>Wawan Siregar</v>
      </c>
      <c r="C494" t="str">
        <f>_xlfn.XLOOKUP(A494,'Tabel Referensi'!$A$2:$A$601,'Tabel Referensi'!$C$2:$C$601)</f>
        <v>088554393769</v>
      </c>
      <c r="D494" t="str">
        <f>_xlfn.XLOOKUP(A494,'Tabel Referensi'!$A$2:$A$601,'Tabel Referensi'!$D$2:$D$601)</f>
        <v>Malang</v>
      </c>
    </row>
    <row r="495" spans="1:4" x14ac:dyDescent="0.35">
      <c r="A495" s="2">
        <v>10405</v>
      </c>
      <c r="B495" t="str">
        <f>_xlfn.XLOOKUP(A495,'Tabel Referensi'!$A$2:$A$601,'Tabel Referensi'!$B$2:$B$601)</f>
        <v>Wawan Santoso</v>
      </c>
      <c r="C495" t="str">
        <f>_xlfn.XLOOKUP(A495,'Tabel Referensi'!$A$2:$A$601,'Tabel Referensi'!$C$2:$C$601)</f>
        <v>08559630993</v>
      </c>
      <c r="D495" t="str">
        <f>_xlfn.XLOOKUP(A495,'Tabel Referensi'!$A$2:$A$601,'Tabel Referensi'!$D$2:$D$601)</f>
        <v>Malang</v>
      </c>
    </row>
    <row r="496" spans="1:4" x14ac:dyDescent="0.35">
      <c r="A496" s="2">
        <v>10588</v>
      </c>
      <c r="B496" t="str">
        <f>_xlfn.XLOOKUP(A496,'Tabel Referensi'!$A$2:$A$601,'Tabel Referensi'!$B$2:$B$601)</f>
        <v>Eka Setiawan</v>
      </c>
      <c r="C496" t="str">
        <f>_xlfn.XLOOKUP(A496,'Tabel Referensi'!$A$2:$A$601,'Tabel Referensi'!$C$2:$C$601)</f>
        <v>088044851579</v>
      </c>
      <c r="D496" t="str">
        <f>_xlfn.XLOOKUP(A496,'Tabel Referensi'!$A$2:$A$601,'Tabel Referensi'!$D$2:$D$601)</f>
        <v>Surabaya</v>
      </c>
    </row>
    <row r="497" spans="1:4" x14ac:dyDescent="0.35">
      <c r="A497" s="2">
        <v>10126</v>
      </c>
      <c r="B497" t="str">
        <f>_xlfn.XLOOKUP(A497,'Tabel Referensi'!$A$2:$A$601,'Tabel Referensi'!$B$2:$B$601)</f>
        <v>Dewi Saputra</v>
      </c>
      <c r="C497" t="str">
        <f>_xlfn.XLOOKUP(A497,'Tabel Referensi'!$A$2:$A$601,'Tabel Referensi'!$C$2:$C$601)</f>
        <v>088679825071</v>
      </c>
      <c r="D497" t="str">
        <f>_xlfn.XLOOKUP(A497,'Tabel Referensi'!$A$2:$A$601,'Tabel Referensi'!$D$2:$D$601)</f>
        <v>Semarang</v>
      </c>
    </row>
    <row r="498" spans="1:4" x14ac:dyDescent="0.35">
      <c r="A498" s="2">
        <v>10387</v>
      </c>
      <c r="B498" t="str">
        <f>_xlfn.XLOOKUP(A498,'Tabel Referensi'!$A$2:$A$601,'Tabel Referensi'!$B$2:$B$601)</f>
        <v>Wawan Santoso</v>
      </c>
      <c r="C498" t="str">
        <f>_xlfn.XLOOKUP(A498,'Tabel Referensi'!$A$2:$A$601,'Tabel Referensi'!$C$2:$C$601)</f>
        <v>088546103399</v>
      </c>
      <c r="D498" t="str">
        <f>_xlfn.XLOOKUP(A498,'Tabel Referensi'!$A$2:$A$601,'Tabel Referensi'!$D$2:$D$601)</f>
        <v>Malang</v>
      </c>
    </row>
    <row r="499" spans="1:4" x14ac:dyDescent="0.35">
      <c r="A499" s="2">
        <v>10134</v>
      </c>
      <c r="B499" t="str">
        <f>_xlfn.XLOOKUP(A499,'Tabel Referensi'!$A$2:$A$601,'Tabel Referensi'!$B$2:$B$601)</f>
        <v>Bella Halim</v>
      </c>
      <c r="C499" t="str">
        <f>_xlfn.XLOOKUP(A499,'Tabel Referensi'!$A$2:$A$601,'Tabel Referensi'!$C$2:$C$601)</f>
        <v>088982544948</v>
      </c>
      <c r="D499" t="str">
        <f>_xlfn.XLOOKUP(A499,'Tabel Referensi'!$A$2:$A$601,'Tabel Referensi'!$D$2:$D$601)</f>
        <v>Makassar</v>
      </c>
    </row>
    <row r="500" spans="1:4" x14ac:dyDescent="0.35">
      <c r="A500" s="2">
        <v>10384</v>
      </c>
      <c r="B500" t="str">
        <f>_xlfn.XLOOKUP(A500,'Tabel Referensi'!$A$2:$A$601,'Tabel Referensi'!$B$2:$B$601)</f>
        <v>Wawan Marpaung</v>
      </c>
      <c r="C500" t="str">
        <f>_xlfn.XLOOKUP(A500,'Tabel Referensi'!$A$2:$A$601,'Tabel Referensi'!$C$2:$C$601)</f>
        <v>08094818139</v>
      </c>
      <c r="D500" t="str">
        <f>_xlfn.XLOOKUP(A500,'Tabel Referensi'!$A$2:$A$601,'Tabel Referensi'!$D$2:$D$601)</f>
        <v>Bandung</v>
      </c>
    </row>
    <row r="501" spans="1:4" x14ac:dyDescent="0.35">
      <c r="A501" s="2">
        <v>10240</v>
      </c>
      <c r="B501" t="str">
        <f>_xlfn.XLOOKUP(A501,'Tabel Referensi'!$A$2:$A$601,'Tabel Referensi'!$B$2:$B$601)</f>
        <v>Eka Saputra</v>
      </c>
      <c r="C501" t="str">
        <f>_xlfn.XLOOKUP(A501,'Tabel Referensi'!$A$2:$A$601,'Tabel Referensi'!$C$2:$C$601)</f>
        <v>088204618723</v>
      </c>
      <c r="D501" t="str">
        <f>_xlfn.XLOOKUP(A501,'Tabel Referensi'!$A$2:$A$601,'Tabel Referensi'!$D$2:$D$601)</f>
        <v>Bandung</v>
      </c>
    </row>
    <row r="502" spans="1:4" x14ac:dyDescent="0.35">
      <c r="A502" s="2">
        <v>10502</v>
      </c>
      <c r="B502" t="str">
        <f>_xlfn.XLOOKUP(A502,'Tabel Referensi'!$A$2:$A$601,'Tabel Referensi'!$B$2:$B$601)</f>
        <v>Zaki Siregar</v>
      </c>
      <c r="C502" t="str">
        <f>_xlfn.XLOOKUP(A502,'Tabel Referensi'!$A$2:$A$601,'Tabel Referensi'!$C$2:$C$601)</f>
        <v>088911244211</v>
      </c>
      <c r="D502" t="str">
        <f>_xlfn.XLOOKUP(A502,'Tabel Referensi'!$A$2:$A$601,'Tabel Referensi'!$D$2:$D$601)</f>
        <v>Medan</v>
      </c>
    </row>
    <row r="503" spans="1:4" x14ac:dyDescent="0.35">
      <c r="A503" s="2">
        <v>10290</v>
      </c>
      <c r="B503" t="str">
        <f>_xlfn.XLOOKUP(A503,'Tabel Referensi'!$A$2:$A$601,'Tabel Referensi'!$B$2:$B$601)</f>
        <v>Zaki Gunawan</v>
      </c>
      <c r="C503" t="str">
        <f>_xlfn.XLOOKUP(A503,'Tabel Referensi'!$A$2:$A$601,'Tabel Referensi'!$C$2:$C$601)</f>
        <v/>
      </c>
      <c r="D503" t="str">
        <f>_xlfn.XLOOKUP(A503,'Tabel Referensi'!$A$2:$A$601,'Tabel Referensi'!$D$2:$D$601)</f>
        <v>Yogyakarta</v>
      </c>
    </row>
    <row r="504" spans="1:4" x14ac:dyDescent="0.35">
      <c r="A504" s="2">
        <v>10023</v>
      </c>
      <c r="B504" t="str">
        <f>_xlfn.XLOOKUP(A504,'Tabel Referensi'!$A$2:$A$601,'Tabel Referensi'!$B$2:$B$601)</f>
        <v>Fajar Simatupang</v>
      </c>
      <c r="C504" t="str">
        <f>_xlfn.XLOOKUP(A504,'Tabel Referensi'!$A$2:$A$601,'Tabel Referensi'!$C$2:$C$601)</f>
        <v>088798687277</v>
      </c>
      <c r="D504" t="str">
        <f>_xlfn.XLOOKUP(A504,'Tabel Referensi'!$A$2:$A$601,'Tabel Referensi'!$D$2:$D$601)</f>
        <v>Denpasar</v>
      </c>
    </row>
    <row r="505" spans="1:4" x14ac:dyDescent="0.35">
      <c r="A505" s="2">
        <v>10425</v>
      </c>
      <c r="B505" t="str">
        <f>_xlfn.XLOOKUP(A505,'Tabel Referensi'!$A$2:$A$601,'Tabel Referensi'!$B$2:$B$601)</f>
        <v>Joko Hidayat</v>
      </c>
      <c r="C505" t="str">
        <f>_xlfn.XLOOKUP(A505,'Tabel Referensi'!$A$2:$A$601,'Tabel Referensi'!$C$2:$C$601)</f>
        <v>088086403553</v>
      </c>
      <c r="D505" t="str">
        <f>_xlfn.XLOOKUP(A505,'Tabel Referensi'!$A$2:$A$601,'Tabel Referensi'!$D$2:$D$601)</f>
        <v>Makassar</v>
      </c>
    </row>
    <row r="506" spans="1:4" x14ac:dyDescent="0.35">
      <c r="A506" s="2">
        <v>10360</v>
      </c>
      <c r="B506" t="str">
        <f>_xlfn.XLOOKUP(A506,'Tabel Referensi'!$A$2:$A$601,'Tabel Referensi'!$B$2:$B$601)</f>
        <v>Fitri Kusuma</v>
      </c>
      <c r="C506" t="str">
        <f>_xlfn.XLOOKUP(A506,'Tabel Referensi'!$A$2:$A$601,'Tabel Referensi'!$C$2:$C$601)</f>
        <v>08152017774</v>
      </c>
      <c r="D506" t="str">
        <f>_xlfn.XLOOKUP(A506,'Tabel Referensi'!$A$2:$A$601,'Tabel Referensi'!$D$2:$D$601)</f>
        <v>Palembang</v>
      </c>
    </row>
    <row r="507" spans="1:4" x14ac:dyDescent="0.35">
      <c r="A507" s="2">
        <v>10170</v>
      </c>
      <c r="B507" t="str">
        <f>_xlfn.XLOOKUP(A507,'Tabel Referensi'!$A$2:$A$601,'Tabel Referensi'!$B$2:$B$601)</f>
        <v>Joko Simatupang</v>
      </c>
      <c r="C507" t="str">
        <f>_xlfn.XLOOKUP(A507,'Tabel Referensi'!$A$2:$A$601,'Tabel Referensi'!$C$2:$C$601)</f>
        <v>088850821486</v>
      </c>
      <c r="D507" t="str">
        <f>_xlfn.XLOOKUP(A507,'Tabel Referensi'!$A$2:$A$601,'Tabel Referensi'!$D$2:$D$601)</f>
        <v>Semarang</v>
      </c>
    </row>
    <row r="508" spans="1:4" x14ac:dyDescent="0.35">
      <c r="A508" s="2">
        <v>10159</v>
      </c>
      <c r="B508" t="str">
        <f>_xlfn.XLOOKUP(A508,'Tabel Referensi'!$A$2:$A$601,'Tabel Referensi'!$B$2:$B$601)</f>
        <v>Lina Siregar</v>
      </c>
      <c r="C508" t="str">
        <f>_xlfn.XLOOKUP(A508,'Tabel Referensi'!$A$2:$A$601,'Tabel Referensi'!$C$2:$C$601)</f>
        <v>088895392644</v>
      </c>
      <c r="D508" t="str">
        <f>_xlfn.XLOOKUP(A508,'Tabel Referensi'!$A$2:$A$601,'Tabel Referensi'!$D$2:$D$601)</f>
        <v>Jakarta</v>
      </c>
    </row>
    <row r="509" spans="1:4" x14ac:dyDescent="0.35">
      <c r="A509" s="2">
        <v>10030</v>
      </c>
      <c r="B509" t="str">
        <f>_xlfn.XLOOKUP(A509,'Tabel Referensi'!$A$2:$A$601,'Tabel Referensi'!$B$2:$B$601)</f>
        <v>Vina Gunawan</v>
      </c>
      <c r="C509" t="str">
        <f>_xlfn.XLOOKUP(A509,'Tabel Referensi'!$A$2:$A$601,'Tabel Referensi'!$C$2:$C$601)</f>
        <v>088849877694</v>
      </c>
      <c r="D509" t="str">
        <f>_xlfn.XLOOKUP(A509,'Tabel Referensi'!$A$2:$A$601,'Tabel Referensi'!$D$2:$D$601)</f>
        <v>Makassar</v>
      </c>
    </row>
    <row r="510" spans="1:4" x14ac:dyDescent="0.35">
      <c r="A510" s="2">
        <v>10478</v>
      </c>
      <c r="B510" t="str">
        <f>_xlfn.XLOOKUP(A510,'Tabel Referensi'!$A$2:$A$601,'Tabel Referensi'!$B$2:$B$601)</f>
        <v>Zaki Setiawan</v>
      </c>
      <c r="C510" t="str">
        <f>_xlfn.XLOOKUP(A510,'Tabel Referensi'!$A$2:$A$601,'Tabel Referensi'!$C$2:$C$601)</f>
        <v>08695236687</v>
      </c>
      <c r="D510" t="str">
        <f>_xlfn.XLOOKUP(A510,'Tabel Referensi'!$A$2:$A$601,'Tabel Referensi'!$D$2:$D$601)</f>
        <v>Jakarta</v>
      </c>
    </row>
    <row r="511" spans="1:4" x14ac:dyDescent="0.35">
      <c r="A511" s="2">
        <v>10462</v>
      </c>
      <c r="B511" t="str">
        <f>_xlfn.XLOOKUP(A511,'Tabel Referensi'!$A$2:$A$601,'Tabel Referensi'!$B$2:$B$601)</f>
        <v>Lina Saputra</v>
      </c>
      <c r="C511" t="str">
        <f>_xlfn.XLOOKUP(A511,'Tabel Referensi'!$A$2:$A$601,'Tabel Referensi'!$C$2:$C$601)</f>
        <v>088163928234</v>
      </c>
      <c r="D511" t="str">
        <f>_xlfn.XLOOKUP(A511,'Tabel Referensi'!$A$2:$A$601,'Tabel Referensi'!$D$2:$D$601)</f>
        <v>Medan</v>
      </c>
    </row>
    <row r="512" spans="1:4" x14ac:dyDescent="0.35">
      <c r="A512" s="2">
        <v>10322</v>
      </c>
      <c r="B512" t="str">
        <f>_xlfn.XLOOKUP(A512,'Tabel Referensi'!$A$2:$A$601,'Tabel Referensi'!$B$2:$B$601)</f>
        <v>Tono Nugroho</v>
      </c>
      <c r="C512" t="str">
        <f>_xlfn.XLOOKUP(A512,'Tabel Referensi'!$A$2:$A$601,'Tabel Referensi'!$C$2:$C$601)</f>
        <v>088759980562</v>
      </c>
      <c r="D512" t="str">
        <f>_xlfn.XLOOKUP(A512,'Tabel Referensi'!$A$2:$A$601,'Tabel Referensi'!$D$2:$D$601)</f>
        <v>Bandung</v>
      </c>
    </row>
    <row r="513" spans="1:4" x14ac:dyDescent="0.35">
      <c r="A513" s="2">
        <v>10298</v>
      </c>
      <c r="B513" t="str">
        <f>_xlfn.XLOOKUP(A513,'Tabel Referensi'!$A$2:$A$601,'Tabel Referensi'!$B$2:$B$601)</f>
        <v>Ahmad Kusuma</v>
      </c>
      <c r="C513" t="str">
        <f>_xlfn.XLOOKUP(A513,'Tabel Referensi'!$A$2:$A$601,'Tabel Referensi'!$C$2:$C$601)</f>
        <v/>
      </c>
      <c r="D513" t="str">
        <f>_xlfn.XLOOKUP(A513,'Tabel Referensi'!$A$2:$A$601,'Tabel Referensi'!$D$2:$D$601)</f>
        <v>Medan</v>
      </c>
    </row>
    <row r="514" spans="1:4" x14ac:dyDescent="0.35">
      <c r="A514" s="2">
        <v>10311</v>
      </c>
      <c r="B514" t="str">
        <f>_xlfn.XLOOKUP(A514,'Tabel Referensi'!$A$2:$A$601,'Tabel Referensi'!$B$2:$B$601)</f>
        <v>Umi Santoso</v>
      </c>
      <c r="C514" t="str">
        <f>_xlfn.XLOOKUP(A514,'Tabel Referensi'!$A$2:$A$601,'Tabel Referensi'!$C$2:$C$601)</f>
        <v>088740633569</v>
      </c>
      <c r="D514" t="str">
        <f>_xlfn.XLOOKUP(A514,'Tabel Referensi'!$A$2:$A$601,'Tabel Referensi'!$D$2:$D$601)</f>
        <v>Surabaya</v>
      </c>
    </row>
    <row r="515" spans="1:4" x14ac:dyDescent="0.35">
      <c r="A515" s="2">
        <v>10542</v>
      </c>
      <c r="B515" t="str">
        <f>_xlfn.XLOOKUP(A515,'Tabel Referensi'!$A$2:$A$601,'Tabel Referensi'!$B$2:$B$601)</f>
        <v>Erik Wijaya</v>
      </c>
      <c r="C515" t="str">
        <f>_xlfn.XLOOKUP(A515,'Tabel Referensi'!$A$2:$A$601,'Tabel Referensi'!$C$2:$C$601)</f>
        <v>088107835674</v>
      </c>
      <c r="D515" t="str">
        <f>_xlfn.XLOOKUP(A515,'Tabel Referensi'!$A$2:$A$601,'Tabel Referensi'!$D$2:$D$601)</f>
        <v>Jakarta</v>
      </c>
    </row>
    <row r="516" spans="1:4" x14ac:dyDescent="0.35">
      <c r="A516" s="2">
        <v>10596</v>
      </c>
      <c r="B516" t="str">
        <f>_xlfn.XLOOKUP(A516,'Tabel Referensi'!$A$2:$A$601,'Tabel Referensi'!$B$2:$B$601)</f>
        <v>Putri Santoso</v>
      </c>
      <c r="C516" t="str">
        <f>_xlfn.XLOOKUP(A516,'Tabel Referensi'!$A$2:$A$601,'Tabel Referensi'!$C$2:$C$601)</f>
        <v>08162526546</v>
      </c>
      <c r="D516" t="str">
        <f>_xlfn.XLOOKUP(A516,'Tabel Referensi'!$A$2:$A$601,'Tabel Referensi'!$D$2:$D$601)</f>
        <v>Jakarta</v>
      </c>
    </row>
    <row r="517" spans="1:4" x14ac:dyDescent="0.35">
      <c r="A517" s="2">
        <v>10085</v>
      </c>
      <c r="B517" t="str">
        <f>_xlfn.XLOOKUP(A517,'Tabel Referensi'!$A$2:$A$601,'Tabel Referensi'!$B$2:$B$601)</f>
        <v>Sari Halim</v>
      </c>
      <c r="C517" t="str">
        <f>_xlfn.XLOOKUP(A517,'Tabel Referensi'!$A$2:$A$601,'Tabel Referensi'!$C$2:$C$601)</f>
        <v>088691251778</v>
      </c>
      <c r="D517" t="str">
        <f>_xlfn.XLOOKUP(A517,'Tabel Referensi'!$A$2:$A$601,'Tabel Referensi'!$D$2:$D$601)</f>
        <v>Denpasar</v>
      </c>
    </row>
    <row r="518" spans="1:4" x14ac:dyDescent="0.35">
      <c r="A518" s="2">
        <v>10498</v>
      </c>
      <c r="B518" t="str">
        <f>_xlfn.XLOOKUP(A518,'Tabel Referensi'!$A$2:$A$601,'Tabel Referensi'!$B$2:$B$601)</f>
        <v>Fitri Pratama</v>
      </c>
      <c r="C518" t="str">
        <f>_xlfn.XLOOKUP(A518,'Tabel Referensi'!$A$2:$A$601,'Tabel Referensi'!$C$2:$C$601)</f>
        <v>088371576605</v>
      </c>
      <c r="D518" t="str">
        <f>_xlfn.XLOOKUP(A518,'Tabel Referensi'!$A$2:$A$601,'Tabel Referensi'!$D$2:$D$601)</f>
        <v>Denpasar</v>
      </c>
    </row>
    <row r="519" spans="1:4" x14ac:dyDescent="0.35">
      <c r="A519" s="2">
        <v>10033</v>
      </c>
      <c r="B519" t="str">
        <f>_xlfn.XLOOKUP(A519,'Tabel Referensi'!$A$2:$A$601,'Tabel Referensi'!$B$2:$B$601)</f>
        <v>Rian Halim</v>
      </c>
      <c r="C519" t="str">
        <f>_xlfn.XLOOKUP(A519,'Tabel Referensi'!$A$2:$A$601,'Tabel Referensi'!$C$2:$C$601)</f>
        <v>08518233749</v>
      </c>
      <c r="D519" t="str">
        <f>_xlfn.XLOOKUP(A519,'Tabel Referensi'!$A$2:$A$601,'Tabel Referensi'!$D$2:$D$601)</f>
        <v>Denpasar</v>
      </c>
    </row>
    <row r="520" spans="1:4" x14ac:dyDescent="0.35">
      <c r="A520" s="2">
        <v>10412</v>
      </c>
      <c r="B520" t="str">
        <f>_xlfn.XLOOKUP(A520,'Tabel Referensi'!$A$2:$A$601,'Tabel Referensi'!$B$2:$B$601)</f>
        <v>Joko Saputra</v>
      </c>
      <c r="C520" t="str">
        <f>_xlfn.XLOOKUP(A520,'Tabel Referensi'!$A$2:$A$601,'Tabel Referensi'!$C$2:$C$601)</f>
        <v>08090225999</v>
      </c>
      <c r="D520" t="str">
        <f>_xlfn.XLOOKUP(A520,'Tabel Referensi'!$A$2:$A$601,'Tabel Referensi'!$D$2:$D$601)</f>
        <v>Yogyakarta</v>
      </c>
    </row>
    <row r="521" spans="1:4" x14ac:dyDescent="0.35">
      <c r="A521" s="2">
        <v>10261</v>
      </c>
      <c r="B521" t="str">
        <f>_xlfn.XLOOKUP(A521,'Tabel Referensi'!$A$2:$A$601,'Tabel Referensi'!$B$2:$B$601)</f>
        <v>Oki Lestari</v>
      </c>
      <c r="C521" t="str">
        <f>_xlfn.XLOOKUP(A521,'Tabel Referensi'!$A$2:$A$601,'Tabel Referensi'!$C$2:$C$601)</f>
        <v>088292518812</v>
      </c>
      <c r="D521" t="str">
        <f>_xlfn.XLOOKUP(A521,'Tabel Referensi'!$A$2:$A$601,'Tabel Referensi'!$D$2:$D$601)</f>
        <v>Surabaya</v>
      </c>
    </row>
    <row r="522" spans="1:4" x14ac:dyDescent="0.35">
      <c r="A522" s="2">
        <v>10399</v>
      </c>
      <c r="B522" t="str">
        <f>_xlfn.XLOOKUP(A522,'Tabel Referensi'!$A$2:$A$601,'Tabel Referensi'!$B$2:$B$601)</f>
        <v>Andi Simatupang</v>
      </c>
      <c r="C522" t="str">
        <f>_xlfn.XLOOKUP(A522,'Tabel Referensi'!$A$2:$A$601,'Tabel Referensi'!$C$2:$C$601)</f>
        <v>08931109193</v>
      </c>
      <c r="D522" t="str">
        <f>_xlfn.XLOOKUP(A522,'Tabel Referensi'!$A$2:$A$601,'Tabel Referensi'!$D$2:$D$601)</f>
        <v>Palembang</v>
      </c>
    </row>
    <row r="523" spans="1:4" x14ac:dyDescent="0.35">
      <c r="A523" s="2">
        <v>10174</v>
      </c>
      <c r="B523" t="str">
        <f>_xlfn.XLOOKUP(A523,'Tabel Referensi'!$A$2:$A$601,'Tabel Referensi'!$B$2:$B$601)</f>
        <v>Oki Setiawan</v>
      </c>
      <c r="C523" t="str">
        <f>_xlfn.XLOOKUP(A523,'Tabel Referensi'!$A$2:$A$601,'Tabel Referensi'!$C$2:$C$601)</f>
        <v>088589944171</v>
      </c>
      <c r="D523" t="str">
        <f>_xlfn.XLOOKUP(A523,'Tabel Referensi'!$A$2:$A$601,'Tabel Referensi'!$D$2:$D$601)</f>
        <v>Palembang</v>
      </c>
    </row>
    <row r="524" spans="1:4" x14ac:dyDescent="0.35">
      <c r="A524" s="2">
        <v>10545</v>
      </c>
      <c r="B524" t="str">
        <f>_xlfn.XLOOKUP(A524,'Tabel Referensi'!$A$2:$A$601,'Tabel Referensi'!$B$2:$B$601)</f>
        <v>Lina Nugroho</v>
      </c>
      <c r="C524" t="str">
        <f>_xlfn.XLOOKUP(A524,'Tabel Referensi'!$A$2:$A$601,'Tabel Referensi'!$C$2:$C$601)</f>
        <v>088375374584</v>
      </c>
      <c r="D524" t="str">
        <f>_xlfn.XLOOKUP(A524,'Tabel Referensi'!$A$2:$A$601,'Tabel Referensi'!$D$2:$D$601)</f>
        <v>Surabaya</v>
      </c>
    </row>
    <row r="525" spans="1:4" x14ac:dyDescent="0.35">
      <c r="A525" s="2">
        <v>10215</v>
      </c>
      <c r="B525" t="str">
        <f>_xlfn.XLOOKUP(A525,'Tabel Referensi'!$A$2:$A$601,'Tabel Referensi'!$B$2:$B$601)</f>
        <v>Chandra Santoso</v>
      </c>
      <c r="C525" t="str">
        <f>_xlfn.XLOOKUP(A525,'Tabel Referensi'!$A$2:$A$601,'Tabel Referensi'!$C$2:$C$601)</f>
        <v>088210388629</v>
      </c>
      <c r="D525" t="str">
        <f>_xlfn.XLOOKUP(A525,'Tabel Referensi'!$A$2:$A$601,'Tabel Referensi'!$D$2:$D$601)</f>
        <v>Denpasar</v>
      </c>
    </row>
    <row r="526" spans="1:4" x14ac:dyDescent="0.35">
      <c r="A526" s="2">
        <v>10510</v>
      </c>
      <c r="B526" t="str">
        <f>_xlfn.XLOOKUP(A526,'Tabel Referensi'!$A$2:$A$601,'Tabel Referensi'!$B$2:$B$601)</f>
        <v>Andi Saputra</v>
      </c>
      <c r="C526" t="str">
        <f>_xlfn.XLOOKUP(A526,'Tabel Referensi'!$A$2:$A$601,'Tabel Referensi'!$C$2:$C$601)</f>
        <v/>
      </c>
      <c r="D526" t="str">
        <f>_xlfn.XLOOKUP(A526,'Tabel Referensi'!$A$2:$A$601,'Tabel Referensi'!$D$2:$D$601)</f>
        <v>Semarang</v>
      </c>
    </row>
    <row r="527" spans="1:4" x14ac:dyDescent="0.35">
      <c r="A527" s="2">
        <v>10590</v>
      </c>
      <c r="B527" t="str">
        <f>_xlfn.XLOOKUP(A527,'Tabel Referensi'!$A$2:$A$601,'Tabel Referensi'!$B$2:$B$601)</f>
        <v>Yani Rahayu</v>
      </c>
      <c r="C527" t="str">
        <f>_xlfn.XLOOKUP(A527,'Tabel Referensi'!$A$2:$A$601,'Tabel Referensi'!$C$2:$C$601)</f>
        <v>088447417595</v>
      </c>
      <c r="D527" t="str">
        <f>_xlfn.XLOOKUP(A527,'Tabel Referensi'!$A$2:$A$601,'Tabel Referensi'!$D$2:$D$601)</f>
        <v>Semarang</v>
      </c>
    </row>
    <row r="528" spans="1:4" x14ac:dyDescent="0.35">
      <c r="A528" s="2">
        <v>10155</v>
      </c>
      <c r="B528" t="str">
        <f>_xlfn.XLOOKUP(A528,'Tabel Referensi'!$A$2:$A$601,'Tabel Referensi'!$B$2:$B$601)</f>
        <v>Putri Marpaung</v>
      </c>
      <c r="C528" t="str">
        <f>_xlfn.XLOOKUP(A528,'Tabel Referensi'!$A$2:$A$601,'Tabel Referensi'!$C$2:$C$601)</f>
        <v>08806578759</v>
      </c>
      <c r="D528" t="str">
        <f>_xlfn.XLOOKUP(A528,'Tabel Referensi'!$A$2:$A$601,'Tabel Referensi'!$D$2:$D$601)</f>
        <v>Palembang</v>
      </c>
    </row>
    <row r="529" spans="1:4" x14ac:dyDescent="0.35">
      <c r="A529" s="2">
        <v>10455</v>
      </c>
      <c r="B529" t="str">
        <f>_xlfn.XLOOKUP(A529,'Tabel Referensi'!$A$2:$A$601,'Tabel Referensi'!$B$2:$B$601)</f>
        <v>Rian Rahayu</v>
      </c>
      <c r="C529" t="str">
        <f>_xlfn.XLOOKUP(A529,'Tabel Referensi'!$A$2:$A$601,'Tabel Referensi'!$C$2:$C$601)</f>
        <v>088131290148</v>
      </c>
      <c r="D529" t="str">
        <f>_xlfn.XLOOKUP(A529,'Tabel Referensi'!$A$2:$A$601,'Tabel Referensi'!$D$2:$D$601)</f>
        <v>Makassar</v>
      </c>
    </row>
    <row r="530" spans="1:4" x14ac:dyDescent="0.35">
      <c r="A530" s="2">
        <v>10354</v>
      </c>
      <c r="B530" t="str">
        <f>_xlfn.XLOOKUP(A530,'Tabel Referensi'!$A$2:$A$601,'Tabel Referensi'!$B$2:$B$601)</f>
        <v>Hadi Hidayat</v>
      </c>
      <c r="C530" t="str">
        <f>_xlfn.XLOOKUP(A530,'Tabel Referensi'!$A$2:$A$601,'Tabel Referensi'!$C$2:$C$601)</f>
        <v>088436262044</v>
      </c>
      <c r="D530" t="str">
        <f>_xlfn.XLOOKUP(A530,'Tabel Referensi'!$A$2:$A$601,'Tabel Referensi'!$D$2:$D$601)</f>
        <v>Semarang</v>
      </c>
    </row>
    <row r="531" spans="1:4" x14ac:dyDescent="0.35">
      <c r="A531" s="2">
        <v>10327</v>
      </c>
      <c r="B531" t="str">
        <f>_xlfn.XLOOKUP(A531,'Tabel Referensi'!$A$2:$A$601,'Tabel Referensi'!$B$2:$B$601)</f>
        <v>Fajar Wijaya</v>
      </c>
      <c r="C531" t="str">
        <f>_xlfn.XLOOKUP(A531,'Tabel Referensi'!$A$2:$A$601,'Tabel Referensi'!$C$2:$C$601)</f>
        <v>088504481832</v>
      </c>
      <c r="D531" t="str">
        <f>_xlfn.XLOOKUP(A531,'Tabel Referensi'!$A$2:$A$601,'Tabel Referensi'!$D$2:$D$601)</f>
        <v>Yogyakarta</v>
      </c>
    </row>
    <row r="532" spans="1:4" x14ac:dyDescent="0.35">
      <c r="A532" s="2">
        <v>10348</v>
      </c>
      <c r="B532" t="str">
        <f>_xlfn.XLOOKUP(A532,'Tabel Referensi'!$A$2:$A$601,'Tabel Referensi'!$B$2:$B$601)</f>
        <v>Chandra Siregar</v>
      </c>
      <c r="C532" t="str">
        <f>_xlfn.XLOOKUP(A532,'Tabel Referensi'!$A$2:$A$601,'Tabel Referensi'!$C$2:$C$601)</f>
        <v>088907851586</v>
      </c>
      <c r="D532" t="str">
        <f>_xlfn.XLOOKUP(A532,'Tabel Referensi'!$A$2:$A$601,'Tabel Referensi'!$D$2:$D$601)</f>
        <v>Makassar</v>
      </c>
    </row>
    <row r="533" spans="1:4" x14ac:dyDescent="0.35">
      <c r="A533" s="2">
        <v>10351</v>
      </c>
      <c r="B533" t="str">
        <f>_xlfn.XLOOKUP(A533,'Tabel Referensi'!$A$2:$A$601,'Tabel Referensi'!$B$2:$B$601)</f>
        <v>Citra Halim</v>
      </c>
      <c r="C533" t="str">
        <f>_xlfn.XLOOKUP(A533,'Tabel Referensi'!$A$2:$A$601,'Tabel Referensi'!$C$2:$C$601)</f>
        <v>088206345911</v>
      </c>
      <c r="D533" t="str">
        <f>_xlfn.XLOOKUP(A533,'Tabel Referensi'!$A$2:$A$601,'Tabel Referensi'!$D$2:$D$601)</f>
        <v>Malang</v>
      </c>
    </row>
    <row r="534" spans="1:4" x14ac:dyDescent="0.35">
      <c r="A534" s="2">
        <v>10012</v>
      </c>
      <c r="B534" t="str">
        <f>_xlfn.XLOOKUP(A534,'Tabel Referensi'!$A$2:$A$601,'Tabel Referensi'!$B$2:$B$601)</f>
        <v>Budi Wijaya</v>
      </c>
      <c r="C534" t="str">
        <f>_xlfn.XLOOKUP(A534,'Tabel Referensi'!$A$2:$A$601,'Tabel Referensi'!$C$2:$C$601)</f>
        <v>08219136193</v>
      </c>
      <c r="D534" t="str">
        <f>_xlfn.XLOOKUP(A534,'Tabel Referensi'!$A$2:$A$601,'Tabel Referensi'!$D$2:$D$601)</f>
        <v>Medan</v>
      </c>
    </row>
    <row r="535" spans="1:4" x14ac:dyDescent="0.35">
      <c r="A535" s="2">
        <v>10571</v>
      </c>
      <c r="B535" t="str">
        <f>_xlfn.XLOOKUP(A535,'Tabel Referensi'!$A$2:$A$601,'Tabel Referensi'!$B$2:$B$601)</f>
        <v>Zaki Nugroho</v>
      </c>
      <c r="C535" t="str">
        <f>_xlfn.XLOOKUP(A535,'Tabel Referensi'!$A$2:$A$601,'Tabel Referensi'!$C$2:$C$601)</f>
        <v>088033041662</v>
      </c>
      <c r="D535" t="str">
        <f>_xlfn.XLOOKUP(A535,'Tabel Referensi'!$A$2:$A$601,'Tabel Referensi'!$D$2:$D$601)</f>
        <v>Medan</v>
      </c>
    </row>
    <row r="536" spans="1:4" x14ac:dyDescent="0.35">
      <c r="A536" s="2">
        <v>10487</v>
      </c>
      <c r="B536" t="str">
        <f>_xlfn.XLOOKUP(A536,'Tabel Referensi'!$A$2:$A$601,'Tabel Referensi'!$B$2:$B$601)</f>
        <v>Kiki Rahayu</v>
      </c>
      <c r="C536" t="str">
        <f>_xlfn.XLOOKUP(A536,'Tabel Referensi'!$A$2:$A$601,'Tabel Referensi'!$C$2:$C$601)</f>
        <v>088971024817</v>
      </c>
      <c r="D536" t="str">
        <f>_xlfn.XLOOKUP(A536,'Tabel Referensi'!$A$2:$A$601,'Tabel Referensi'!$D$2:$D$601)</f>
        <v>Malang</v>
      </c>
    </row>
    <row r="537" spans="1:4" x14ac:dyDescent="0.35">
      <c r="A537" s="2">
        <v>10398</v>
      </c>
      <c r="B537" t="str">
        <f>_xlfn.XLOOKUP(A537,'Tabel Referensi'!$A$2:$A$601,'Tabel Referensi'!$B$2:$B$601)</f>
        <v>Kiki Kusuma</v>
      </c>
      <c r="C537" t="str">
        <f>_xlfn.XLOOKUP(A537,'Tabel Referensi'!$A$2:$A$601,'Tabel Referensi'!$C$2:$C$601)</f>
        <v>08804661963</v>
      </c>
      <c r="D537" t="str">
        <f>_xlfn.XLOOKUP(A537,'Tabel Referensi'!$A$2:$A$601,'Tabel Referensi'!$D$2:$D$601)</f>
        <v>Medan</v>
      </c>
    </row>
    <row r="538" spans="1:4" x14ac:dyDescent="0.35">
      <c r="A538" s="2">
        <v>10554</v>
      </c>
      <c r="B538" t="str">
        <f>_xlfn.XLOOKUP(A538,'Tabel Referensi'!$A$2:$A$601,'Tabel Referensi'!$B$2:$B$601)</f>
        <v>Lina Wijaya</v>
      </c>
      <c r="C538" t="str">
        <f>_xlfn.XLOOKUP(A538,'Tabel Referensi'!$A$2:$A$601,'Tabel Referensi'!$C$2:$C$601)</f>
        <v>088536902611</v>
      </c>
      <c r="D538" t="str">
        <f>_xlfn.XLOOKUP(A538,'Tabel Referensi'!$A$2:$A$601,'Tabel Referensi'!$D$2:$D$601)</f>
        <v>Surabaya</v>
      </c>
    </row>
    <row r="539" spans="1:4" x14ac:dyDescent="0.35">
      <c r="A539" s="2">
        <v>10336</v>
      </c>
      <c r="B539" t="str">
        <f>_xlfn.XLOOKUP(A539,'Tabel Referensi'!$A$2:$A$601,'Tabel Referensi'!$B$2:$B$601)</f>
        <v>Lina Nasution</v>
      </c>
      <c r="C539" t="str">
        <f>_xlfn.XLOOKUP(A539,'Tabel Referensi'!$A$2:$A$601,'Tabel Referensi'!$C$2:$C$601)</f>
        <v>088320101702</v>
      </c>
      <c r="D539" t="str">
        <f>_xlfn.XLOOKUP(A539,'Tabel Referensi'!$A$2:$A$601,'Tabel Referensi'!$D$2:$D$601)</f>
        <v>Makassar</v>
      </c>
    </row>
    <row r="540" spans="1:4" x14ac:dyDescent="0.35">
      <c r="A540" s="2">
        <v>10430</v>
      </c>
      <c r="B540" t="str">
        <f>_xlfn.XLOOKUP(A540,'Tabel Referensi'!$A$2:$A$601,'Tabel Referensi'!$B$2:$B$601)</f>
        <v>Zaki Halim</v>
      </c>
      <c r="C540" t="str">
        <f>_xlfn.XLOOKUP(A540,'Tabel Referensi'!$A$2:$A$601,'Tabel Referensi'!$C$2:$C$601)</f>
        <v>08016923645</v>
      </c>
      <c r="D540" t="str">
        <f>_xlfn.XLOOKUP(A540,'Tabel Referensi'!$A$2:$A$601,'Tabel Referensi'!$D$2:$D$601)</f>
        <v>Makassar</v>
      </c>
    </row>
    <row r="541" spans="1:4" x14ac:dyDescent="0.35">
      <c r="A541" s="2">
        <v>10294</v>
      </c>
      <c r="B541" t="str">
        <f>_xlfn.XLOOKUP(A541,'Tabel Referensi'!$A$2:$A$601,'Tabel Referensi'!$B$2:$B$601)</f>
        <v>Fitri Simatupang</v>
      </c>
      <c r="C541" t="str">
        <f>_xlfn.XLOOKUP(A541,'Tabel Referensi'!$A$2:$A$601,'Tabel Referensi'!$C$2:$C$601)</f>
        <v>088454414967</v>
      </c>
      <c r="D541" t="str">
        <f>_xlfn.XLOOKUP(A541,'Tabel Referensi'!$A$2:$A$601,'Tabel Referensi'!$D$2:$D$601)</f>
        <v>Yogyakarta</v>
      </c>
    </row>
    <row r="542" spans="1:4" x14ac:dyDescent="0.35">
      <c r="A542" s="2">
        <v>10065</v>
      </c>
      <c r="B542" t="str">
        <f>_xlfn.XLOOKUP(A542,'Tabel Referensi'!$A$2:$A$601,'Tabel Referensi'!$B$2:$B$601)</f>
        <v>Citra Marpaung</v>
      </c>
      <c r="C542" t="str">
        <f>_xlfn.XLOOKUP(A542,'Tabel Referensi'!$A$2:$A$601,'Tabel Referensi'!$C$2:$C$601)</f>
        <v>088218188355</v>
      </c>
      <c r="D542" t="str">
        <f>_xlfn.XLOOKUP(A542,'Tabel Referensi'!$A$2:$A$601,'Tabel Referensi'!$D$2:$D$601)</f>
        <v>Bandung</v>
      </c>
    </row>
    <row r="543" spans="1:4" x14ac:dyDescent="0.35">
      <c r="A543" s="2">
        <v>10018</v>
      </c>
      <c r="B543" t="str">
        <f>_xlfn.XLOOKUP(A543,'Tabel Referensi'!$A$2:$A$601,'Tabel Referensi'!$B$2:$B$601)</f>
        <v>Joko Nugroho</v>
      </c>
      <c r="C543" t="str">
        <f>_xlfn.XLOOKUP(A543,'Tabel Referensi'!$A$2:$A$601,'Tabel Referensi'!$C$2:$C$601)</f>
        <v>088685014294</v>
      </c>
      <c r="D543" t="str">
        <f>_xlfn.XLOOKUP(A543,'Tabel Referensi'!$A$2:$A$601,'Tabel Referensi'!$D$2:$D$601)</f>
        <v>Medan</v>
      </c>
    </row>
    <row r="544" spans="1:4" x14ac:dyDescent="0.35">
      <c r="A544" s="2">
        <v>10230</v>
      </c>
      <c r="B544" t="str">
        <f>_xlfn.XLOOKUP(A544,'Tabel Referensi'!$A$2:$A$601,'Tabel Referensi'!$B$2:$B$601)</f>
        <v>Wawan Nugroho</v>
      </c>
      <c r="C544" t="str">
        <f>_xlfn.XLOOKUP(A544,'Tabel Referensi'!$A$2:$A$601,'Tabel Referensi'!$C$2:$C$601)</f>
        <v>088267288574</v>
      </c>
      <c r="D544" t="str">
        <f>_xlfn.XLOOKUP(A544,'Tabel Referensi'!$A$2:$A$601,'Tabel Referensi'!$D$2:$D$601)</f>
        <v>Semarang</v>
      </c>
    </row>
    <row r="545" spans="1:4" x14ac:dyDescent="0.35">
      <c r="A545" s="2">
        <v>10226</v>
      </c>
      <c r="B545" t="str">
        <f>_xlfn.XLOOKUP(A545,'Tabel Referensi'!$A$2:$A$601,'Tabel Referensi'!$B$2:$B$601)</f>
        <v>Sari Santoso</v>
      </c>
      <c r="C545" t="str">
        <f>_xlfn.XLOOKUP(A545,'Tabel Referensi'!$A$2:$A$601,'Tabel Referensi'!$C$2:$C$601)</f>
        <v>088334333395</v>
      </c>
      <c r="D545" t="str">
        <f>_xlfn.XLOOKUP(A545,'Tabel Referensi'!$A$2:$A$601,'Tabel Referensi'!$D$2:$D$601)</f>
        <v>Yogyakarta</v>
      </c>
    </row>
    <row r="546" spans="1:4" x14ac:dyDescent="0.35">
      <c r="A546" s="2">
        <v>10099</v>
      </c>
      <c r="B546" t="str">
        <f>_xlfn.XLOOKUP(A546,'Tabel Referensi'!$A$2:$A$601,'Tabel Referensi'!$B$2:$B$601)</f>
        <v>Vina Nasution</v>
      </c>
      <c r="C546" t="str">
        <f>_xlfn.XLOOKUP(A546,'Tabel Referensi'!$A$2:$A$601,'Tabel Referensi'!$C$2:$C$601)</f>
        <v>088026206724</v>
      </c>
      <c r="D546" t="str">
        <f>_xlfn.XLOOKUP(A546,'Tabel Referensi'!$A$2:$A$601,'Tabel Referensi'!$D$2:$D$601)</f>
        <v>Bandung</v>
      </c>
    </row>
    <row r="547" spans="1:4" x14ac:dyDescent="0.35">
      <c r="A547" s="2">
        <v>10325</v>
      </c>
      <c r="B547" t="str">
        <f>_xlfn.XLOOKUP(A547,'Tabel Referensi'!$A$2:$A$601,'Tabel Referensi'!$B$2:$B$601)</f>
        <v>Chandra Rahayu</v>
      </c>
      <c r="C547" t="str">
        <f>_xlfn.XLOOKUP(A547,'Tabel Referensi'!$A$2:$A$601,'Tabel Referensi'!$C$2:$C$601)</f>
        <v>088714627301</v>
      </c>
      <c r="D547" t="str">
        <f>_xlfn.XLOOKUP(A547,'Tabel Referensi'!$A$2:$A$601,'Tabel Referensi'!$D$2:$D$601)</f>
        <v>Semarang</v>
      </c>
    </row>
    <row r="548" spans="1:4" x14ac:dyDescent="0.35">
      <c r="A548" s="2">
        <v>10473</v>
      </c>
      <c r="B548" t="str">
        <f>_xlfn.XLOOKUP(A548,'Tabel Referensi'!$A$2:$A$601,'Tabel Referensi'!$B$2:$B$601)</f>
        <v>Wawan Hidayat</v>
      </c>
      <c r="C548" t="str">
        <f>_xlfn.XLOOKUP(A548,'Tabel Referensi'!$A$2:$A$601,'Tabel Referensi'!$C$2:$C$601)</f>
        <v>088091660100</v>
      </c>
      <c r="D548" t="str">
        <f>_xlfn.XLOOKUP(A548,'Tabel Referensi'!$A$2:$A$601,'Tabel Referensi'!$D$2:$D$601)</f>
        <v>Surabaya</v>
      </c>
    </row>
    <row r="549" spans="1:4" x14ac:dyDescent="0.35">
      <c r="A549" s="2">
        <v>10132</v>
      </c>
      <c r="B549" t="str">
        <f>_xlfn.XLOOKUP(A549,'Tabel Referensi'!$A$2:$A$601,'Tabel Referensi'!$B$2:$B$601)</f>
        <v>Vina Nasution</v>
      </c>
      <c r="C549" t="str">
        <f>_xlfn.XLOOKUP(A549,'Tabel Referensi'!$A$2:$A$601,'Tabel Referensi'!$C$2:$C$601)</f>
        <v>08438427978</v>
      </c>
      <c r="D549" t="str">
        <f>_xlfn.XLOOKUP(A549,'Tabel Referensi'!$A$2:$A$601,'Tabel Referensi'!$D$2:$D$601)</f>
        <v>Palembang</v>
      </c>
    </row>
    <row r="550" spans="1:4" x14ac:dyDescent="0.35">
      <c r="A550" s="2">
        <v>10424</v>
      </c>
      <c r="B550" t="str">
        <f>_xlfn.XLOOKUP(A550,'Tabel Referensi'!$A$2:$A$601,'Tabel Referensi'!$B$2:$B$601)</f>
        <v>Andi Simatupang</v>
      </c>
      <c r="C550" t="str">
        <f>_xlfn.XLOOKUP(A550,'Tabel Referensi'!$A$2:$A$601,'Tabel Referensi'!$C$2:$C$601)</f>
        <v>088143639102</v>
      </c>
      <c r="D550" t="str">
        <f>_xlfn.XLOOKUP(A550,'Tabel Referensi'!$A$2:$A$601,'Tabel Referensi'!$D$2:$D$601)</f>
        <v>Denpasar</v>
      </c>
    </row>
    <row r="551" spans="1:4" x14ac:dyDescent="0.35">
      <c r="A551" s="2">
        <v>10019</v>
      </c>
      <c r="B551" t="str">
        <f>_xlfn.XLOOKUP(A551,'Tabel Referensi'!$A$2:$A$601,'Tabel Referensi'!$B$2:$B$601)</f>
        <v>Umi Marpaung</v>
      </c>
      <c r="C551" t="str">
        <f>_xlfn.XLOOKUP(A551,'Tabel Referensi'!$A$2:$A$601,'Tabel Referensi'!$C$2:$C$601)</f>
        <v/>
      </c>
      <c r="D551" t="str">
        <f>_xlfn.XLOOKUP(A551,'Tabel Referensi'!$A$2:$A$601,'Tabel Referensi'!$D$2:$D$601)</f>
        <v>Yogyakarta</v>
      </c>
    </row>
    <row r="552" spans="1:4" x14ac:dyDescent="0.35">
      <c r="A552" s="2">
        <v>10212</v>
      </c>
      <c r="B552" t="str">
        <f>_xlfn.XLOOKUP(A552,'Tabel Referensi'!$A$2:$A$601,'Tabel Referensi'!$B$2:$B$601)</f>
        <v>Indah Siregar</v>
      </c>
      <c r="C552" t="str">
        <f>_xlfn.XLOOKUP(A552,'Tabel Referensi'!$A$2:$A$601,'Tabel Referensi'!$C$2:$C$601)</f>
        <v>088723184322</v>
      </c>
      <c r="D552" t="str">
        <f>_xlfn.XLOOKUP(A552,'Tabel Referensi'!$A$2:$A$601,'Tabel Referensi'!$D$2:$D$601)</f>
        <v>Denpasar</v>
      </c>
    </row>
    <row r="553" spans="1:4" x14ac:dyDescent="0.35">
      <c r="A553" s="2">
        <v>10416</v>
      </c>
      <c r="B553" t="str">
        <f>_xlfn.XLOOKUP(A553,'Tabel Referensi'!$A$2:$A$601,'Tabel Referensi'!$B$2:$B$601)</f>
        <v>Kiki Nasution</v>
      </c>
      <c r="C553" t="str">
        <f>_xlfn.XLOOKUP(A553,'Tabel Referensi'!$A$2:$A$601,'Tabel Referensi'!$C$2:$C$601)</f>
        <v>08263296762</v>
      </c>
      <c r="D553" t="str">
        <f>_xlfn.XLOOKUP(A553,'Tabel Referensi'!$A$2:$A$601,'Tabel Referensi'!$D$2:$D$601)</f>
        <v>Palembang</v>
      </c>
    </row>
    <row r="554" spans="1:4" x14ac:dyDescent="0.35">
      <c r="A554" s="2">
        <v>10005</v>
      </c>
      <c r="B554" t="str">
        <f>_xlfn.XLOOKUP(A554,'Tabel Referensi'!$A$2:$A$601,'Tabel Referensi'!$B$2:$B$601)</f>
        <v>Vina Santoso</v>
      </c>
      <c r="C554" t="str">
        <f>_xlfn.XLOOKUP(A554,'Tabel Referensi'!$A$2:$A$601,'Tabel Referensi'!$C$2:$C$601)</f>
        <v>088018451462</v>
      </c>
      <c r="D554" t="str">
        <f>_xlfn.XLOOKUP(A554,'Tabel Referensi'!$A$2:$A$601,'Tabel Referensi'!$D$2:$D$601)</f>
        <v>Malang</v>
      </c>
    </row>
    <row r="555" spans="1:4" x14ac:dyDescent="0.35">
      <c r="A555" s="2">
        <v>10279</v>
      </c>
      <c r="B555" t="str">
        <f>_xlfn.XLOOKUP(A555,'Tabel Referensi'!$A$2:$A$601,'Tabel Referensi'!$B$2:$B$601)</f>
        <v>Andi Pratama</v>
      </c>
      <c r="C555" t="str">
        <f>_xlfn.XLOOKUP(A555,'Tabel Referensi'!$A$2:$A$601,'Tabel Referensi'!$C$2:$C$601)</f>
        <v>088149587020</v>
      </c>
      <c r="D555" t="str">
        <f>_xlfn.XLOOKUP(A555,'Tabel Referensi'!$A$2:$A$601,'Tabel Referensi'!$D$2:$D$601)</f>
        <v>Denpasar</v>
      </c>
    </row>
    <row r="556" spans="1:4" x14ac:dyDescent="0.35">
      <c r="A556" s="2">
        <v>10291</v>
      </c>
      <c r="B556" t="str">
        <f>_xlfn.XLOOKUP(A556,'Tabel Referensi'!$A$2:$A$601,'Tabel Referensi'!$B$2:$B$601)</f>
        <v>Tono Santoso</v>
      </c>
      <c r="C556" t="str">
        <f>_xlfn.XLOOKUP(A556,'Tabel Referensi'!$A$2:$A$601,'Tabel Referensi'!$C$2:$C$601)</f>
        <v>08442944401</v>
      </c>
      <c r="D556" t="str">
        <f>_xlfn.XLOOKUP(A556,'Tabel Referensi'!$A$2:$A$601,'Tabel Referensi'!$D$2:$D$601)</f>
        <v>Medan</v>
      </c>
    </row>
    <row r="557" spans="1:4" x14ac:dyDescent="0.35">
      <c r="A557" s="2">
        <v>10185</v>
      </c>
      <c r="B557" t="str">
        <f>_xlfn.XLOOKUP(A557,'Tabel Referensi'!$A$2:$A$601,'Tabel Referensi'!$B$2:$B$601)</f>
        <v>Chandra Santoso</v>
      </c>
      <c r="C557" t="str">
        <f>_xlfn.XLOOKUP(A557,'Tabel Referensi'!$A$2:$A$601,'Tabel Referensi'!$C$2:$C$601)</f>
        <v>088255794155</v>
      </c>
      <c r="D557" t="str">
        <f>_xlfn.XLOOKUP(A557,'Tabel Referensi'!$A$2:$A$601,'Tabel Referensi'!$D$2:$D$601)</f>
        <v>Semarang</v>
      </c>
    </row>
    <row r="558" spans="1:4" x14ac:dyDescent="0.35">
      <c r="A558" s="2">
        <v>10408</v>
      </c>
      <c r="B558" t="str">
        <f>_xlfn.XLOOKUP(A558,'Tabel Referensi'!$A$2:$A$601,'Tabel Referensi'!$B$2:$B$601)</f>
        <v>Indah Kusuma</v>
      </c>
      <c r="C558" t="str">
        <f>_xlfn.XLOOKUP(A558,'Tabel Referensi'!$A$2:$A$601,'Tabel Referensi'!$C$2:$C$601)</f>
        <v>088567766575</v>
      </c>
      <c r="D558" t="str">
        <f>_xlfn.XLOOKUP(A558,'Tabel Referensi'!$A$2:$A$601,'Tabel Referensi'!$D$2:$D$601)</f>
        <v>Jakarta</v>
      </c>
    </row>
    <row r="559" spans="1:4" x14ac:dyDescent="0.35">
      <c r="A559" s="2">
        <v>10046</v>
      </c>
      <c r="B559" t="str">
        <f>_xlfn.XLOOKUP(A559,'Tabel Referensi'!$A$2:$A$601,'Tabel Referensi'!$B$2:$B$601)</f>
        <v>Dewi Simatupang</v>
      </c>
      <c r="C559" t="str">
        <f>_xlfn.XLOOKUP(A559,'Tabel Referensi'!$A$2:$A$601,'Tabel Referensi'!$C$2:$C$601)</f>
        <v>088586578091</v>
      </c>
      <c r="D559" t="str">
        <f>_xlfn.XLOOKUP(A559,'Tabel Referensi'!$A$2:$A$601,'Tabel Referensi'!$D$2:$D$601)</f>
        <v>Surabaya</v>
      </c>
    </row>
    <row r="560" spans="1:4" x14ac:dyDescent="0.35">
      <c r="A560" s="2">
        <v>10513</v>
      </c>
      <c r="B560" t="str">
        <f>_xlfn.XLOOKUP(A560,'Tabel Referensi'!$A$2:$A$601,'Tabel Referensi'!$B$2:$B$601)</f>
        <v>Erik Wijaya</v>
      </c>
      <c r="C560" t="str">
        <f>_xlfn.XLOOKUP(A560,'Tabel Referensi'!$A$2:$A$601,'Tabel Referensi'!$C$2:$C$601)</f>
        <v>088971252967</v>
      </c>
      <c r="D560" t="str">
        <f>_xlfn.XLOOKUP(A560,'Tabel Referensi'!$A$2:$A$601,'Tabel Referensi'!$D$2:$D$601)</f>
        <v>Medan</v>
      </c>
    </row>
    <row r="561" spans="1:4" x14ac:dyDescent="0.35">
      <c r="A561" s="2">
        <v>10283</v>
      </c>
      <c r="B561" t="str">
        <f>_xlfn.XLOOKUP(A561,'Tabel Referensi'!$A$2:$A$601,'Tabel Referensi'!$B$2:$B$601)</f>
        <v>Made Kusuma</v>
      </c>
      <c r="C561" t="str">
        <f>_xlfn.XLOOKUP(A561,'Tabel Referensi'!$A$2:$A$601,'Tabel Referensi'!$C$2:$C$601)</f>
        <v>088197199758</v>
      </c>
      <c r="D561" t="str">
        <f>_xlfn.XLOOKUP(A561,'Tabel Referensi'!$A$2:$A$601,'Tabel Referensi'!$D$2:$D$601)</f>
        <v>Bandung</v>
      </c>
    </row>
    <row r="562" spans="1:4" x14ac:dyDescent="0.35">
      <c r="A562" s="2">
        <v>10190</v>
      </c>
      <c r="B562" t="str">
        <f>_xlfn.XLOOKUP(A562,'Tabel Referensi'!$A$2:$A$601,'Tabel Referensi'!$B$2:$B$601)</f>
        <v>Bella Simatupang</v>
      </c>
      <c r="C562" t="str">
        <f>_xlfn.XLOOKUP(A562,'Tabel Referensi'!$A$2:$A$601,'Tabel Referensi'!$C$2:$C$601)</f>
        <v>088880199488</v>
      </c>
      <c r="D562" t="str">
        <f>_xlfn.XLOOKUP(A562,'Tabel Referensi'!$A$2:$A$601,'Tabel Referensi'!$D$2:$D$601)</f>
        <v>Palembang</v>
      </c>
    </row>
    <row r="563" spans="1:4" x14ac:dyDescent="0.35">
      <c r="A563" s="2">
        <v>10447</v>
      </c>
      <c r="B563" t="str">
        <f>_xlfn.XLOOKUP(A563,'Tabel Referensi'!$A$2:$A$601,'Tabel Referensi'!$B$2:$B$601)</f>
        <v>Fajar Siregar</v>
      </c>
      <c r="C563" t="str">
        <f>_xlfn.XLOOKUP(A563,'Tabel Referensi'!$A$2:$A$601,'Tabel Referensi'!$C$2:$C$601)</f>
        <v>08068887189</v>
      </c>
      <c r="D563" t="str">
        <f>_xlfn.XLOOKUP(A563,'Tabel Referensi'!$A$2:$A$601,'Tabel Referensi'!$D$2:$D$601)</f>
        <v>Makassar</v>
      </c>
    </row>
    <row r="564" spans="1:4" x14ac:dyDescent="0.35">
      <c r="A564" s="2">
        <v>10220</v>
      </c>
      <c r="B564" t="str">
        <f>_xlfn.XLOOKUP(A564,'Tabel Referensi'!$A$2:$A$601,'Tabel Referensi'!$B$2:$B$601)</f>
        <v>Yani Wijaya</v>
      </c>
      <c r="C564" t="str">
        <f>_xlfn.XLOOKUP(A564,'Tabel Referensi'!$A$2:$A$601,'Tabel Referensi'!$C$2:$C$601)</f>
        <v/>
      </c>
      <c r="D564" t="str">
        <f>_xlfn.XLOOKUP(A564,'Tabel Referensi'!$A$2:$A$601,'Tabel Referensi'!$D$2:$D$601)</f>
        <v>Makassar</v>
      </c>
    </row>
    <row r="565" spans="1:4" x14ac:dyDescent="0.35">
      <c r="A565" s="2">
        <v>10587</v>
      </c>
      <c r="B565" t="str">
        <f>_xlfn.XLOOKUP(A565,'Tabel Referensi'!$A$2:$A$601,'Tabel Referensi'!$B$2:$B$601)</f>
        <v>Kiki Gunawan</v>
      </c>
      <c r="C565" t="str">
        <f>_xlfn.XLOOKUP(A565,'Tabel Referensi'!$A$2:$A$601,'Tabel Referensi'!$C$2:$C$601)</f>
        <v/>
      </c>
      <c r="D565" t="str">
        <f>_xlfn.XLOOKUP(A565,'Tabel Referensi'!$A$2:$A$601,'Tabel Referensi'!$D$2:$D$601)</f>
        <v>Malang</v>
      </c>
    </row>
    <row r="566" spans="1:4" x14ac:dyDescent="0.35">
      <c r="A566" s="2">
        <v>10383</v>
      </c>
      <c r="B566" t="str">
        <f>_xlfn.XLOOKUP(A566,'Tabel Referensi'!$A$2:$A$601,'Tabel Referensi'!$B$2:$B$601)</f>
        <v>Lina Kusuma</v>
      </c>
      <c r="C566" t="str">
        <f>_xlfn.XLOOKUP(A566,'Tabel Referensi'!$A$2:$A$601,'Tabel Referensi'!$C$2:$C$601)</f>
        <v>088922877725</v>
      </c>
      <c r="D566" t="str">
        <f>_xlfn.XLOOKUP(A566,'Tabel Referensi'!$A$2:$A$601,'Tabel Referensi'!$D$2:$D$601)</f>
        <v>Makassar</v>
      </c>
    </row>
    <row r="567" spans="1:4" x14ac:dyDescent="0.35">
      <c r="A567" s="2">
        <v>10050</v>
      </c>
      <c r="B567" t="str">
        <f>_xlfn.XLOOKUP(A567,'Tabel Referensi'!$A$2:$A$601,'Tabel Referensi'!$B$2:$B$601)</f>
        <v>Umi Halim</v>
      </c>
      <c r="C567" t="str">
        <f>_xlfn.XLOOKUP(A567,'Tabel Referensi'!$A$2:$A$601,'Tabel Referensi'!$C$2:$C$601)</f>
        <v>088095214562</v>
      </c>
      <c r="D567" t="str">
        <f>_xlfn.XLOOKUP(A567,'Tabel Referensi'!$A$2:$A$601,'Tabel Referensi'!$D$2:$D$601)</f>
        <v>Bandung</v>
      </c>
    </row>
    <row r="568" spans="1:4" x14ac:dyDescent="0.35">
      <c r="A568" s="2">
        <v>10552</v>
      </c>
      <c r="B568" t="str">
        <f>_xlfn.XLOOKUP(A568,'Tabel Referensi'!$A$2:$A$601,'Tabel Referensi'!$B$2:$B$601)</f>
        <v>Vina Wijaya</v>
      </c>
      <c r="C568" t="str">
        <f>_xlfn.XLOOKUP(A568,'Tabel Referensi'!$A$2:$A$601,'Tabel Referensi'!$C$2:$C$601)</f>
        <v>08058093511</v>
      </c>
      <c r="D568" t="str">
        <f>_xlfn.XLOOKUP(A568,'Tabel Referensi'!$A$2:$A$601,'Tabel Referensi'!$D$2:$D$601)</f>
        <v>Denpasar</v>
      </c>
    </row>
    <row r="569" spans="1:4" x14ac:dyDescent="0.35">
      <c r="A569" s="2">
        <v>10526</v>
      </c>
      <c r="B569" t="str">
        <f>_xlfn.XLOOKUP(A569,'Tabel Referensi'!$A$2:$A$601,'Tabel Referensi'!$B$2:$B$601)</f>
        <v>Lina Rahayu</v>
      </c>
      <c r="C569" t="str">
        <f>_xlfn.XLOOKUP(A569,'Tabel Referensi'!$A$2:$A$601,'Tabel Referensi'!$C$2:$C$601)</f>
        <v>088075366614</v>
      </c>
      <c r="D569" t="str">
        <f>_xlfn.XLOOKUP(A569,'Tabel Referensi'!$A$2:$A$601,'Tabel Referensi'!$D$2:$D$601)</f>
        <v>Denpasar</v>
      </c>
    </row>
    <row r="570" spans="1:4" x14ac:dyDescent="0.35">
      <c r="A570" s="2">
        <v>10310</v>
      </c>
      <c r="B570" t="str">
        <f>_xlfn.XLOOKUP(A570,'Tabel Referensi'!$A$2:$A$601,'Tabel Referensi'!$B$2:$B$601)</f>
        <v>Fajar Siregar</v>
      </c>
      <c r="C570" t="str">
        <f>_xlfn.XLOOKUP(A570,'Tabel Referensi'!$A$2:$A$601,'Tabel Referensi'!$C$2:$C$601)</f>
        <v>088042177625</v>
      </c>
      <c r="D570" t="str">
        <f>_xlfn.XLOOKUP(A570,'Tabel Referensi'!$A$2:$A$601,'Tabel Referensi'!$D$2:$D$601)</f>
        <v>Surabaya</v>
      </c>
    </row>
    <row r="571" spans="1:4" x14ac:dyDescent="0.35">
      <c r="A571" s="2">
        <v>10267</v>
      </c>
      <c r="B571" t="str">
        <f>_xlfn.XLOOKUP(A571,'Tabel Referensi'!$A$2:$A$601,'Tabel Referensi'!$B$2:$B$601)</f>
        <v>Yani Santoso</v>
      </c>
      <c r="C571" t="str">
        <f>_xlfn.XLOOKUP(A571,'Tabel Referensi'!$A$2:$A$601,'Tabel Referensi'!$C$2:$C$601)</f>
        <v>088268602592</v>
      </c>
      <c r="D571" t="str">
        <f>_xlfn.XLOOKUP(A571,'Tabel Referensi'!$A$2:$A$601,'Tabel Referensi'!$D$2:$D$601)</f>
        <v>Jakarta</v>
      </c>
    </row>
    <row r="572" spans="1:4" x14ac:dyDescent="0.35">
      <c r="A572" s="2">
        <v>10584</v>
      </c>
      <c r="B572" t="str">
        <f>_xlfn.XLOOKUP(A572,'Tabel Referensi'!$A$2:$A$601,'Tabel Referensi'!$B$2:$B$601)</f>
        <v>Erik Marpaung</v>
      </c>
      <c r="C572" t="str">
        <f>_xlfn.XLOOKUP(A572,'Tabel Referensi'!$A$2:$A$601,'Tabel Referensi'!$C$2:$C$601)</f>
        <v>088365203758</v>
      </c>
      <c r="D572" t="str">
        <f>_xlfn.XLOOKUP(A572,'Tabel Referensi'!$A$2:$A$601,'Tabel Referensi'!$D$2:$D$601)</f>
        <v>Surabaya</v>
      </c>
    </row>
    <row r="573" spans="1:4" x14ac:dyDescent="0.35">
      <c r="A573" s="2">
        <v>10196</v>
      </c>
      <c r="B573" t="str">
        <f>_xlfn.XLOOKUP(A573,'Tabel Referensi'!$A$2:$A$601,'Tabel Referensi'!$B$2:$B$601)</f>
        <v>Ahmad Santoso</v>
      </c>
      <c r="C573" t="str">
        <f>_xlfn.XLOOKUP(A573,'Tabel Referensi'!$A$2:$A$601,'Tabel Referensi'!$C$2:$C$601)</f>
        <v>088838638406</v>
      </c>
      <c r="D573" t="str">
        <f>_xlfn.XLOOKUP(A573,'Tabel Referensi'!$A$2:$A$601,'Tabel Referensi'!$D$2:$D$601)</f>
        <v>Semarang</v>
      </c>
    </row>
    <row r="574" spans="1:4" x14ac:dyDescent="0.35">
      <c r="A574" s="2">
        <v>10119</v>
      </c>
      <c r="B574" t="str">
        <f>_xlfn.XLOOKUP(A574,'Tabel Referensi'!$A$2:$A$601,'Tabel Referensi'!$B$2:$B$601)</f>
        <v>Ahmad Siregar</v>
      </c>
      <c r="C574" t="str">
        <f>_xlfn.XLOOKUP(A574,'Tabel Referensi'!$A$2:$A$601,'Tabel Referensi'!$C$2:$C$601)</f>
        <v>088961943114</v>
      </c>
      <c r="D574" t="str">
        <f>_xlfn.XLOOKUP(A574,'Tabel Referensi'!$A$2:$A$601,'Tabel Referensi'!$D$2:$D$601)</f>
        <v>Medan</v>
      </c>
    </row>
    <row r="575" spans="1:4" x14ac:dyDescent="0.35">
      <c r="A575" s="2">
        <v>10443</v>
      </c>
      <c r="B575" t="str">
        <f>_xlfn.XLOOKUP(A575,'Tabel Referensi'!$A$2:$A$601,'Tabel Referensi'!$B$2:$B$601)</f>
        <v>Eka Hidayat</v>
      </c>
      <c r="C575" t="str">
        <f>_xlfn.XLOOKUP(A575,'Tabel Referensi'!$A$2:$A$601,'Tabel Referensi'!$C$2:$C$601)</f>
        <v>088675661844</v>
      </c>
      <c r="D575" t="str">
        <f>_xlfn.XLOOKUP(A575,'Tabel Referensi'!$A$2:$A$601,'Tabel Referensi'!$D$2:$D$601)</f>
        <v>Medan</v>
      </c>
    </row>
    <row r="576" spans="1:4" x14ac:dyDescent="0.35">
      <c r="A576" s="2">
        <v>10263</v>
      </c>
      <c r="B576" t="str">
        <f>_xlfn.XLOOKUP(A576,'Tabel Referensi'!$A$2:$A$601,'Tabel Referensi'!$B$2:$B$601)</f>
        <v>Lina Kusuma</v>
      </c>
      <c r="C576" t="str">
        <f>_xlfn.XLOOKUP(A576,'Tabel Referensi'!$A$2:$A$601,'Tabel Referensi'!$C$2:$C$601)</f>
        <v>088330604633</v>
      </c>
      <c r="D576" t="str">
        <f>_xlfn.XLOOKUP(A576,'Tabel Referensi'!$A$2:$A$601,'Tabel Referensi'!$D$2:$D$601)</f>
        <v>Surabaya</v>
      </c>
    </row>
    <row r="577" spans="1:4" x14ac:dyDescent="0.35">
      <c r="A577" s="2">
        <v>10188</v>
      </c>
      <c r="B577" t="str">
        <f>_xlfn.XLOOKUP(A577,'Tabel Referensi'!$A$2:$A$601,'Tabel Referensi'!$B$2:$B$601)</f>
        <v>Lina Siregar</v>
      </c>
      <c r="C577" t="str">
        <f>_xlfn.XLOOKUP(A577,'Tabel Referensi'!$A$2:$A$601,'Tabel Referensi'!$C$2:$C$601)</f>
        <v/>
      </c>
      <c r="D577" t="str">
        <f>_xlfn.XLOOKUP(A577,'Tabel Referensi'!$A$2:$A$601,'Tabel Referensi'!$D$2:$D$601)</f>
        <v>Denpasar</v>
      </c>
    </row>
    <row r="578" spans="1:4" x14ac:dyDescent="0.35">
      <c r="A578" s="2">
        <v>10022</v>
      </c>
      <c r="B578" t="str">
        <f>_xlfn.XLOOKUP(A578,'Tabel Referensi'!$A$2:$A$601,'Tabel Referensi'!$B$2:$B$601)</f>
        <v>Chandra Nugroho</v>
      </c>
      <c r="C578" t="str">
        <f>_xlfn.XLOOKUP(A578,'Tabel Referensi'!$A$2:$A$601,'Tabel Referensi'!$C$2:$C$601)</f>
        <v>088936763201</v>
      </c>
      <c r="D578" t="str">
        <f>_xlfn.XLOOKUP(A578,'Tabel Referensi'!$A$2:$A$601,'Tabel Referensi'!$D$2:$D$601)</f>
        <v>Bandung</v>
      </c>
    </row>
    <row r="579" spans="1:4" x14ac:dyDescent="0.35">
      <c r="A579" s="2">
        <v>10410</v>
      </c>
      <c r="B579" t="str">
        <f>_xlfn.XLOOKUP(A579,'Tabel Referensi'!$A$2:$A$601,'Tabel Referensi'!$B$2:$B$601)</f>
        <v>Wawan Gunawan</v>
      </c>
      <c r="C579" t="str">
        <f>_xlfn.XLOOKUP(A579,'Tabel Referensi'!$A$2:$A$601,'Tabel Referensi'!$C$2:$C$601)</f>
        <v>088456690782</v>
      </c>
      <c r="D579" t="str">
        <f>_xlfn.XLOOKUP(A579,'Tabel Referensi'!$A$2:$A$601,'Tabel Referensi'!$D$2:$D$601)</f>
        <v>Semarang</v>
      </c>
    </row>
    <row r="580" spans="1:4" x14ac:dyDescent="0.35">
      <c r="A580" s="2">
        <v>10432</v>
      </c>
      <c r="B580" t="str">
        <f>_xlfn.XLOOKUP(A580,'Tabel Referensi'!$A$2:$A$601,'Tabel Referensi'!$B$2:$B$601)</f>
        <v>Made Kusuma</v>
      </c>
      <c r="C580" t="str">
        <f>_xlfn.XLOOKUP(A580,'Tabel Referensi'!$A$2:$A$601,'Tabel Referensi'!$C$2:$C$601)</f>
        <v>088611952436</v>
      </c>
      <c r="D580" t="str">
        <f>_xlfn.XLOOKUP(A580,'Tabel Referensi'!$A$2:$A$601,'Tabel Referensi'!$D$2:$D$601)</f>
        <v>Bandung</v>
      </c>
    </row>
    <row r="581" spans="1:4" x14ac:dyDescent="0.35">
      <c r="A581" s="2">
        <v>10309</v>
      </c>
      <c r="B581" t="str">
        <f>_xlfn.XLOOKUP(A581,'Tabel Referensi'!$A$2:$A$601,'Tabel Referensi'!$B$2:$B$601)</f>
        <v>Kiki Marpaung</v>
      </c>
      <c r="C581" t="str">
        <f>_xlfn.XLOOKUP(A581,'Tabel Referensi'!$A$2:$A$601,'Tabel Referensi'!$C$2:$C$601)</f>
        <v>08317970623</v>
      </c>
      <c r="D581" t="str">
        <f>_xlfn.XLOOKUP(A581,'Tabel Referensi'!$A$2:$A$601,'Tabel Referensi'!$D$2:$D$601)</f>
        <v>Yogyakarta</v>
      </c>
    </row>
    <row r="582" spans="1:4" x14ac:dyDescent="0.35">
      <c r="A582" s="2">
        <v>10080</v>
      </c>
      <c r="B582" t="str">
        <f>_xlfn.XLOOKUP(A582,'Tabel Referensi'!$A$2:$A$601,'Tabel Referensi'!$B$2:$B$601)</f>
        <v>Bella Halim</v>
      </c>
      <c r="C582" t="str">
        <f>_xlfn.XLOOKUP(A582,'Tabel Referensi'!$A$2:$A$601,'Tabel Referensi'!$C$2:$C$601)</f>
        <v>088841616928</v>
      </c>
      <c r="D582" t="str">
        <f>_xlfn.XLOOKUP(A582,'Tabel Referensi'!$A$2:$A$601,'Tabel Referensi'!$D$2:$D$601)</f>
        <v>Makassar</v>
      </c>
    </row>
    <row r="583" spans="1:4" x14ac:dyDescent="0.35">
      <c r="A583" s="2">
        <v>10524</v>
      </c>
      <c r="B583" t="str">
        <f>_xlfn.XLOOKUP(A583,'Tabel Referensi'!$A$2:$A$601,'Tabel Referensi'!$B$2:$B$601)</f>
        <v>Tono Marpaung</v>
      </c>
      <c r="C583" t="str">
        <f>_xlfn.XLOOKUP(A583,'Tabel Referensi'!$A$2:$A$601,'Tabel Referensi'!$C$2:$C$601)</f>
        <v>08954107272</v>
      </c>
      <c r="D583" t="str">
        <f>_xlfn.XLOOKUP(A583,'Tabel Referensi'!$A$2:$A$601,'Tabel Referensi'!$D$2:$D$601)</f>
        <v>Semarang</v>
      </c>
    </row>
    <row r="584" spans="1:4" x14ac:dyDescent="0.35">
      <c r="A584" s="2">
        <v>10391</v>
      </c>
      <c r="B584" t="str">
        <f>_xlfn.XLOOKUP(A584,'Tabel Referensi'!$A$2:$A$601,'Tabel Referensi'!$B$2:$B$601)</f>
        <v>Bella Gunawan</v>
      </c>
      <c r="C584" t="str">
        <f>_xlfn.XLOOKUP(A584,'Tabel Referensi'!$A$2:$A$601,'Tabel Referensi'!$C$2:$C$601)</f>
        <v>088950209700</v>
      </c>
      <c r="D584" t="str">
        <f>_xlfn.XLOOKUP(A584,'Tabel Referensi'!$A$2:$A$601,'Tabel Referensi'!$D$2:$D$601)</f>
        <v>Semarang</v>
      </c>
    </row>
    <row r="585" spans="1:4" x14ac:dyDescent="0.35">
      <c r="A585" s="2">
        <v>10103</v>
      </c>
      <c r="B585" t="str">
        <f>_xlfn.XLOOKUP(A585,'Tabel Referensi'!$A$2:$A$601,'Tabel Referensi'!$B$2:$B$601)</f>
        <v>Nita Nasution</v>
      </c>
      <c r="C585" t="str">
        <f>_xlfn.XLOOKUP(A585,'Tabel Referensi'!$A$2:$A$601,'Tabel Referensi'!$C$2:$C$601)</f>
        <v>088108839822</v>
      </c>
      <c r="D585" t="str">
        <f>_xlfn.XLOOKUP(A585,'Tabel Referensi'!$A$2:$A$601,'Tabel Referensi'!$D$2:$D$601)</f>
        <v>Bandung</v>
      </c>
    </row>
    <row r="586" spans="1:4" x14ac:dyDescent="0.35">
      <c r="A586" s="2">
        <v>10150</v>
      </c>
      <c r="B586" t="str">
        <f>_xlfn.XLOOKUP(A586,'Tabel Referensi'!$A$2:$A$601,'Tabel Referensi'!$B$2:$B$601)</f>
        <v>Nita Halim</v>
      </c>
      <c r="C586" t="str">
        <f>_xlfn.XLOOKUP(A586,'Tabel Referensi'!$A$2:$A$601,'Tabel Referensi'!$C$2:$C$601)</f>
        <v>088623445655</v>
      </c>
      <c r="D586" t="str">
        <f>_xlfn.XLOOKUP(A586,'Tabel Referensi'!$A$2:$A$601,'Tabel Referensi'!$D$2:$D$601)</f>
        <v>Jakarta</v>
      </c>
    </row>
    <row r="587" spans="1:4" x14ac:dyDescent="0.35">
      <c r="A587" s="2">
        <v>10039</v>
      </c>
      <c r="B587" t="str">
        <f>_xlfn.XLOOKUP(A587,'Tabel Referensi'!$A$2:$A$601,'Tabel Referensi'!$B$2:$B$601)</f>
        <v>Fajar Rahayu</v>
      </c>
      <c r="C587" t="str">
        <f>_xlfn.XLOOKUP(A587,'Tabel Referensi'!$A$2:$A$601,'Tabel Referensi'!$C$2:$C$601)</f>
        <v>088771906594</v>
      </c>
      <c r="D587" t="str">
        <f>_xlfn.XLOOKUP(A587,'Tabel Referensi'!$A$2:$A$601,'Tabel Referensi'!$D$2:$D$601)</f>
        <v>Malang</v>
      </c>
    </row>
    <row r="588" spans="1:4" x14ac:dyDescent="0.35">
      <c r="A588" s="2">
        <v>10381</v>
      </c>
      <c r="B588" t="str">
        <f>_xlfn.XLOOKUP(A588,'Tabel Referensi'!$A$2:$A$601,'Tabel Referensi'!$B$2:$B$601)</f>
        <v>Dewi Hidayat</v>
      </c>
      <c r="C588" t="str">
        <f>_xlfn.XLOOKUP(A588,'Tabel Referensi'!$A$2:$A$601,'Tabel Referensi'!$C$2:$C$601)</f>
        <v>088940821545</v>
      </c>
      <c r="D588" t="str">
        <f>_xlfn.XLOOKUP(A588,'Tabel Referensi'!$A$2:$A$601,'Tabel Referensi'!$D$2:$D$601)</f>
        <v>Palembang</v>
      </c>
    </row>
    <row r="589" spans="1:4" x14ac:dyDescent="0.35">
      <c r="A589" s="2">
        <v>10334</v>
      </c>
      <c r="B589" t="str">
        <f>_xlfn.XLOOKUP(A589,'Tabel Referensi'!$A$2:$A$601,'Tabel Referensi'!$B$2:$B$601)</f>
        <v>Citra Gunawan</v>
      </c>
      <c r="C589" t="str">
        <f>_xlfn.XLOOKUP(A589,'Tabel Referensi'!$A$2:$A$601,'Tabel Referensi'!$C$2:$C$601)</f>
        <v>088463175207</v>
      </c>
      <c r="D589" t="str">
        <f>_xlfn.XLOOKUP(A589,'Tabel Referensi'!$A$2:$A$601,'Tabel Referensi'!$D$2:$D$601)</f>
        <v>Jakarta</v>
      </c>
    </row>
    <row r="590" spans="1:4" x14ac:dyDescent="0.35">
      <c r="A590" s="2">
        <v>10078</v>
      </c>
      <c r="B590" t="str">
        <f>_xlfn.XLOOKUP(A590,'Tabel Referensi'!$A$2:$A$601,'Tabel Referensi'!$B$2:$B$601)</f>
        <v>Vina Siregar</v>
      </c>
      <c r="C590" t="str">
        <f>_xlfn.XLOOKUP(A590,'Tabel Referensi'!$A$2:$A$601,'Tabel Referensi'!$C$2:$C$601)</f>
        <v>088520585277</v>
      </c>
      <c r="D590" t="str">
        <f>_xlfn.XLOOKUP(A590,'Tabel Referensi'!$A$2:$A$601,'Tabel Referensi'!$D$2:$D$601)</f>
        <v>Semarang</v>
      </c>
    </row>
    <row r="591" spans="1:4" x14ac:dyDescent="0.35">
      <c r="A591" s="2">
        <v>10041</v>
      </c>
      <c r="B591" t="str">
        <f>_xlfn.XLOOKUP(A591,'Tabel Referensi'!$A$2:$A$601,'Tabel Referensi'!$B$2:$B$601)</f>
        <v>Nita Nasution</v>
      </c>
      <c r="C591" t="str">
        <f>_xlfn.XLOOKUP(A591,'Tabel Referensi'!$A$2:$A$601,'Tabel Referensi'!$C$2:$C$601)</f>
        <v>088680876038</v>
      </c>
      <c r="D591" t="str">
        <f>_xlfn.XLOOKUP(A591,'Tabel Referensi'!$A$2:$A$601,'Tabel Referensi'!$D$2:$D$601)</f>
        <v>Makassar</v>
      </c>
    </row>
    <row r="592" spans="1:4" x14ac:dyDescent="0.35">
      <c r="A592" s="2">
        <v>10582</v>
      </c>
      <c r="B592" t="str">
        <f>_xlfn.XLOOKUP(A592,'Tabel Referensi'!$A$2:$A$601,'Tabel Referensi'!$B$2:$B$601)</f>
        <v>Bella Nugroho</v>
      </c>
      <c r="C592" t="str">
        <f>_xlfn.XLOOKUP(A592,'Tabel Referensi'!$A$2:$A$601,'Tabel Referensi'!$C$2:$C$601)</f>
        <v>088028767548</v>
      </c>
      <c r="D592" t="str">
        <f>_xlfn.XLOOKUP(A592,'Tabel Referensi'!$A$2:$A$601,'Tabel Referensi'!$D$2:$D$601)</f>
        <v>Jakarta</v>
      </c>
    </row>
    <row r="593" spans="1:4" x14ac:dyDescent="0.35">
      <c r="A593" s="2">
        <v>10536</v>
      </c>
      <c r="B593" t="str">
        <f>_xlfn.XLOOKUP(A593,'Tabel Referensi'!$A$2:$A$601,'Tabel Referensi'!$B$2:$B$601)</f>
        <v>Ahmad Nugroho</v>
      </c>
      <c r="C593" t="str">
        <f>_xlfn.XLOOKUP(A593,'Tabel Referensi'!$A$2:$A$601,'Tabel Referensi'!$C$2:$C$601)</f>
        <v/>
      </c>
      <c r="D593" t="str">
        <f>_xlfn.XLOOKUP(A593,'Tabel Referensi'!$A$2:$A$601,'Tabel Referensi'!$D$2:$D$601)</f>
        <v>Jakarta</v>
      </c>
    </row>
    <row r="594" spans="1:4" x14ac:dyDescent="0.35">
      <c r="A594" s="2">
        <v>10249</v>
      </c>
      <c r="B594" t="str">
        <f>_xlfn.XLOOKUP(A594,'Tabel Referensi'!$A$2:$A$601,'Tabel Referensi'!$B$2:$B$601)</f>
        <v>Gita Hidayat</v>
      </c>
      <c r="C594" t="str">
        <f>_xlfn.XLOOKUP(A594,'Tabel Referensi'!$A$2:$A$601,'Tabel Referensi'!$C$2:$C$601)</f>
        <v>08612286852</v>
      </c>
      <c r="D594" t="str">
        <f>_xlfn.XLOOKUP(A594,'Tabel Referensi'!$A$2:$A$601,'Tabel Referensi'!$D$2:$D$601)</f>
        <v>Bandung</v>
      </c>
    </row>
    <row r="595" spans="1:4" x14ac:dyDescent="0.35">
      <c r="A595" s="2">
        <v>10469</v>
      </c>
      <c r="B595" t="str">
        <f>_xlfn.XLOOKUP(A595,'Tabel Referensi'!$A$2:$A$601,'Tabel Referensi'!$B$2:$B$601)</f>
        <v>Indah Hidayat</v>
      </c>
      <c r="C595" t="str">
        <f>_xlfn.XLOOKUP(A595,'Tabel Referensi'!$A$2:$A$601,'Tabel Referensi'!$C$2:$C$601)</f>
        <v>088844344812</v>
      </c>
      <c r="D595" t="str">
        <f>_xlfn.XLOOKUP(A595,'Tabel Referensi'!$A$2:$A$601,'Tabel Referensi'!$D$2:$D$601)</f>
        <v>Medan</v>
      </c>
    </row>
    <row r="596" spans="1:4" x14ac:dyDescent="0.35">
      <c r="A596" s="2">
        <v>10353</v>
      </c>
      <c r="B596" t="str">
        <f>_xlfn.XLOOKUP(A596,'Tabel Referensi'!$A$2:$A$601,'Tabel Referensi'!$B$2:$B$601)</f>
        <v>Fitri Nugroho</v>
      </c>
      <c r="C596" t="str">
        <f>_xlfn.XLOOKUP(A596,'Tabel Referensi'!$A$2:$A$601,'Tabel Referensi'!$C$2:$C$601)</f>
        <v>088152910867</v>
      </c>
      <c r="D596" t="str">
        <f>_xlfn.XLOOKUP(A596,'Tabel Referensi'!$A$2:$A$601,'Tabel Referensi'!$D$2:$D$601)</f>
        <v>Palembang</v>
      </c>
    </row>
    <row r="597" spans="1:4" x14ac:dyDescent="0.35">
      <c r="A597" s="2">
        <v>10281</v>
      </c>
      <c r="B597" t="str">
        <f>_xlfn.XLOOKUP(A597,'Tabel Referensi'!$A$2:$A$601,'Tabel Referensi'!$B$2:$B$601)</f>
        <v>Joko Simatupang</v>
      </c>
      <c r="C597" t="str">
        <f>_xlfn.XLOOKUP(A597,'Tabel Referensi'!$A$2:$A$601,'Tabel Referensi'!$C$2:$C$601)</f>
        <v>088577017157</v>
      </c>
      <c r="D597" t="str">
        <f>_xlfn.XLOOKUP(A597,'Tabel Referensi'!$A$2:$A$601,'Tabel Referensi'!$D$2:$D$601)</f>
        <v>Bandung</v>
      </c>
    </row>
    <row r="598" spans="1:4" x14ac:dyDescent="0.35">
      <c r="A598" s="2">
        <v>10441</v>
      </c>
      <c r="B598" t="str">
        <f>_xlfn.XLOOKUP(A598,'Tabel Referensi'!$A$2:$A$601,'Tabel Referensi'!$B$2:$B$601)</f>
        <v>Tono Saputra</v>
      </c>
      <c r="C598" t="str">
        <f>_xlfn.XLOOKUP(A598,'Tabel Referensi'!$A$2:$A$601,'Tabel Referensi'!$C$2:$C$601)</f>
        <v>088993160875</v>
      </c>
      <c r="D598" t="str">
        <f>_xlfn.XLOOKUP(A598,'Tabel Referensi'!$A$2:$A$601,'Tabel Referensi'!$D$2:$D$601)</f>
        <v>Medan</v>
      </c>
    </row>
    <row r="599" spans="1:4" x14ac:dyDescent="0.35">
      <c r="A599" s="2">
        <v>10505</v>
      </c>
      <c r="B599" t="str">
        <f>_xlfn.XLOOKUP(A599,'Tabel Referensi'!$A$2:$A$601,'Tabel Referensi'!$B$2:$B$601)</f>
        <v>Kiki Lestari</v>
      </c>
      <c r="C599" t="str">
        <f>_xlfn.XLOOKUP(A599,'Tabel Referensi'!$A$2:$A$601,'Tabel Referensi'!$C$2:$C$601)</f>
        <v>088477686342</v>
      </c>
      <c r="D599" t="str">
        <f>_xlfn.XLOOKUP(A599,'Tabel Referensi'!$A$2:$A$601,'Tabel Referensi'!$D$2:$D$601)</f>
        <v>Jakarta</v>
      </c>
    </row>
    <row r="600" spans="1:4" x14ac:dyDescent="0.35">
      <c r="A600" s="2">
        <v>10148</v>
      </c>
      <c r="B600" t="str">
        <f>_xlfn.XLOOKUP(A600,'Tabel Referensi'!$A$2:$A$601,'Tabel Referensi'!$B$2:$B$601)</f>
        <v>Erik Simatupang</v>
      </c>
      <c r="C600" t="str">
        <f>_xlfn.XLOOKUP(A600,'Tabel Referensi'!$A$2:$A$601,'Tabel Referensi'!$C$2:$C$601)</f>
        <v>088493759738</v>
      </c>
      <c r="D600" t="str">
        <f>_xlfn.XLOOKUP(A600,'Tabel Referensi'!$A$2:$A$601,'Tabel Referensi'!$D$2:$D$601)</f>
        <v>Semarang</v>
      </c>
    </row>
    <row r="601" spans="1:4" x14ac:dyDescent="0.35">
      <c r="A601" s="2">
        <v>10129</v>
      </c>
      <c r="B601" t="str">
        <f>_xlfn.XLOOKUP(A601,'Tabel Referensi'!$A$2:$A$601,'Tabel Referensi'!$B$2:$B$601)</f>
        <v>Yani Hidayat</v>
      </c>
      <c r="C601" t="str">
        <f>_xlfn.XLOOKUP(A601,'Tabel Referensi'!$A$2:$A$601,'Tabel Referensi'!$C$2:$C$601)</f>
        <v>08147859696</v>
      </c>
      <c r="D601" t="str">
        <f>_xlfn.XLOOKUP(A601,'Tabel Referensi'!$A$2:$A$601,'Tabel Referensi'!$D$2:$D$601)</f>
        <v>Semarang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24" workbookViewId="0">
      <selection activeCell="A40" sqref="A40"/>
    </sheetView>
  </sheetViews>
  <sheetFormatPr defaultRowHeight="14.5" x14ac:dyDescent="0.35"/>
  <cols>
    <col min="1" max="1" width="90" customWidth="1"/>
    <col min="3" max="3" width="10.6328125" bestFit="1" customWidth="1"/>
    <col min="4" max="4" width="9.7265625" bestFit="1" customWidth="1"/>
  </cols>
  <sheetData>
    <row r="1" spans="1:1" ht="18" x14ac:dyDescent="0.35">
      <c r="A1" s="3" t="s">
        <v>378</v>
      </c>
    </row>
    <row r="2" spans="1:1" x14ac:dyDescent="0.35">
      <c r="A2" s="4"/>
    </row>
    <row r="3" spans="1:1" x14ac:dyDescent="0.35">
      <c r="A3" s="4" t="s">
        <v>379</v>
      </c>
    </row>
    <row r="4" spans="1:1" ht="15.5" x14ac:dyDescent="0.35">
      <c r="A4" s="5" t="s">
        <v>380</v>
      </c>
    </row>
    <row r="5" spans="1:1" x14ac:dyDescent="0.35">
      <c r="A5" s="4" t="s">
        <v>381</v>
      </c>
    </row>
    <row r="6" spans="1:1" x14ac:dyDescent="0.35">
      <c r="A6" s="4" t="s">
        <v>382</v>
      </c>
    </row>
    <row r="7" spans="1:1" x14ac:dyDescent="0.35">
      <c r="A7" s="4" t="s">
        <v>383</v>
      </c>
    </row>
    <row r="8" spans="1:1" x14ac:dyDescent="0.35">
      <c r="A8" s="4" t="s">
        <v>384</v>
      </c>
    </row>
    <row r="9" spans="1:1" x14ac:dyDescent="0.35">
      <c r="A9" s="4" t="s">
        <v>385</v>
      </c>
    </row>
    <row r="10" spans="1:1" x14ac:dyDescent="0.35">
      <c r="A10" s="4" t="s">
        <v>386</v>
      </c>
    </row>
    <row r="11" spans="1:1" x14ac:dyDescent="0.35">
      <c r="A11" s="4"/>
    </row>
    <row r="12" spans="1:1" ht="15.5" x14ac:dyDescent="0.35">
      <c r="A12" s="5" t="s">
        <v>387</v>
      </c>
    </row>
    <row r="13" spans="1:1" x14ac:dyDescent="0.35">
      <c r="A13" s="6" t="s">
        <v>388</v>
      </c>
    </row>
    <row r="14" spans="1:1" x14ac:dyDescent="0.35">
      <c r="A14" s="4" t="s">
        <v>389</v>
      </c>
    </row>
    <row r="15" spans="1:1" x14ac:dyDescent="0.35">
      <c r="A15" s="4" t="s">
        <v>390</v>
      </c>
    </row>
    <row r="16" spans="1:1" x14ac:dyDescent="0.35">
      <c r="A16" s="4" t="s">
        <v>391</v>
      </c>
    </row>
    <row r="17" spans="1:4" x14ac:dyDescent="0.35">
      <c r="A17" s="4" t="s">
        <v>392</v>
      </c>
    </row>
    <row r="18" spans="1:4" x14ac:dyDescent="0.35">
      <c r="A18" s="4" t="s">
        <v>393</v>
      </c>
    </row>
    <row r="19" spans="1:4" x14ac:dyDescent="0.35">
      <c r="A19" s="4"/>
    </row>
    <row r="20" spans="1:4" x14ac:dyDescent="0.35">
      <c r="A20" s="6" t="s">
        <v>394</v>
      </c>
    </row>
    <row r="21" spans="1:4" x14ac:dyDescent="0.35">
      <c r="A21" s="4" t="s">
        <v>395</v>
      </c>
    </row>
    <row r="22" spans="1:4" x14ac:dyDescent="0.35">
      <c r="A22" s="13" t="s">
        <v>396</v>
      </c>
    </row>
    <row r="23" spans="1:4" x14ac:dyDescent="0.35">
      <c r="A23" s="4" t="s">
        <v>397</v>
      </c>
    </row>
    <row r="24" spans="1:4" x14ac:dyDescent="0.35">
      <c r="A24" s="4" t="s">
        <v>398</v>
      </c>
      <c r="D24" t="str">
        <f>TRIM(C24)</f>
        <v/>
      </c>
    </row>
    <row r="25" spans="1:4" x14ac:dyDescent="0.35">
      <c r="A25" s="4"/>
    </row>
    <row r="26" spans="1:4" x14ac:dyDescent="0.35">
      <c r="A26" s="6" t="s">
        <v>399</v>
      </c>
    </row>
    <row r="27" spans="1:4" x14ac:dyDescent="0.35">
      <c r="A27" s="4" t="s">
        <v>400</v>
      </c>
    </row>
    <row r="28" spans="1:4" x14ac:dyDescent="0.35">
      <c r="A28" s="4" t="s">
        <v>401</v>
      </c>
    </row>
    <row r="29" spans="1:4" x14ac:dyDescent="0.35">
      <c r="A29" s="4" t="s">
        <v>402</v>
      </c>
    </row>
    <row r="30" spans="1:4" x14ac:dyDescent="0.35">
      <c r="A30" s="4" t="s">
        <v>1017</v>
      </c>
    </row>
    <row r="31" spans="1:4" x14ac:dyDescent="0.35">
      <c r="A31" s="4"/>
    </row>
    <row r="32" spans="1:4" x14ac:dyDescent="0.35">
      <c r="A32" s="6" t="s">
        <v>403</v>
      </c>
    </row>
    <row r="33" spans="1:1" x14ac:dyDescent="0.35">
      <c r="A33" s="4" t="s">
        <v>404</v>
      </c>
    </row>
    <row r="34" spans="1:1" x14ac:dyDescent="0.35">
      <c r="A34" s="4" t="s">
        <v>405</v>
      </c>
    </row>
    <row r="35" spans="1:1" x14ac:dyDescent="0.35">
      <c r="A35" s="4" t="s">
        <v>406</v>
      </c>
    </row>
    <row r="36" spans="1:1" x14ac:dyDescent="0.35">
      <c r="A36" s="4"/>
    </row>
    <row r="37" spans="1:1" x14ac:dyDescent="0.35">
      <c r="A37" s="6" t="s">
        <v>407</v>
      </c>
    </row>
    <row r="38" spans="1:1" x14ac:dyDescent="0.35">
      <c r="A38" s="4" t="s">
        <v>408</v>
      </c>
    </row>
    <row r="39" spans="1:1" x14ac:dyDescent="0.35">
      <c r="A39" s="4" t="s">
        <v>409</v>
      </c>
    </row>
    <row r="40" spans="1:1" x14ac:dyDescent="0.35">
      <c r="A40" s="4" t="s">
        <v>410</v>
      </c>
    </row>
    <row r="41" spans="1:1" x14ac:dyDescent="0.35">
      <c r="A41" s="4" t="s">
        <v>411</v>
      </c>
    </row>
    <row r="42" spans="1:1" x14ac:dyDescent="0.35">
      <c r="A42" s="4" t="s">
        <v>412</v>
      </c>
    </row>
    <row r="43" spans="1:1" x14ac:dyDescent="0.35">
      <c r="A43" s="4"/>
    </row>
    <row r="44" spans="1:1" x14ac:dyDescent="0.35">
      <c r="A44" s="4" t="s">
        <v>413</v>
      </c>
    </row>
    <row r="45" spans="1:1" x14ac:dyDescent="0.35">
      <c r="A45" s="4" t="s">
        <v>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tabel</vt:lpstr>
      <vt:lpstr>Grafik</vt:lpstr>
      <vt:lpstr>Jawaban</vt:lpstr>
      <vt:lpstr>Tabel Referensi</vt:lpstr>
      <vt:lpstr>Tabel Input</vt:lpstr>
      <vt:lpstr>Instruksi Latihan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Irene Ayunda Ginting</cp:lastModifiedBy>
  <dcterms:created xsi:type="dcterms:W3CDTF">2026-07-04T07:42:25Z</dcterms:created>
  <dcterms:modified xsi:type="dcterms:W3CDTF">2026-08-10T12:27:33Z</dcterms:modified>
</cp:coreProperties>
</file>